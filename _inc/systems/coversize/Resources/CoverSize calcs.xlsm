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compendium-es-de\_inc\systems\coversize\Resources\"/>
    </mc:Choice>
  </mc:AlternateContent>
  <xr:revisionPtr revIDLastSave="0" documentId="13_ncr:1_{F2F0A5F7-32F1-461E-A130-B9E0B142DDE2}" xr6:coauthVersionLast="47" xr6:coauthVersionMax="47" xr10:uidLastSave="{00000000-0000-0000-0000-000000000000}"/>
  <bookViews>
    <workbookView xWindow="-120" yWindow="-120" windowWidth="38640" windowHeight="15840" xr2:uid="{927DE51B-CC27-429C-BCD1-72BA80CA9632}"/>
  </bookViews>
  <sheets>
    <sheet name="Sheet1" sheetId="1" r:id="rId1"/>
    <sheet name="xml" sheetId="2" r:id="rId2"/>
  </sheets>
  <definedNames>
    <definedName name="_xleta.MATCH" hidden="1" xlm="1">#NAME?</definedName>
    <definedName name="Drop_Down_1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F9" i="1"/>
  <c r="G9" i="1"/>
  <c r="H9" i="1"/>
  <c r="I9" i="1"/>
  <c r="J9" i="1"/>
  <c r="K9" i="1"/>
  <c r="L9" i="1"/>
  <c r="M9" i="1"/>
  <c r="E10" i="1"/>
  <c r="F10" i="1"/>
  <c r="G10" i="1"/>
  <c r="H10" i="1"/>
  <c r="I10" i="1"/>
  <c r="J10" i="1"/>
  <c r="K10" i="1"/>
  <c r="L10" i="1"/>
  <c r="M10" i="1"/>
  <c r="E11" i="1"/>
  <c r="F11" i="1"/>
  <c r="G11" i="1"/>
  <c r="H11" i="1"/>
  <c r="I11" i="1"/>
  <c r="J11" i="1"/>
  <c r="K11" i="1"/>
  <c r="L11" i="1"/>
  <c r="M11" i="1"/>
  <c r="E12" i="1"/>
  <c r="F12" i="1"/>
  <c r="G12" i="1"/>
  <c r="H12" i="1"/>
  <c r="I12" i="1"/>
  <c r="J12" i="1"/>
  <c r="K12" i="1"/>
  <c r="L12" i="1"/>
  <c r="M12" i="1"/>
  <c r="M60" i="1" s="1"/>
  <c r="E13" i="1"/>
  <c r="F13" i="1"/>
  <c r="G13" i="1"/>
  <c r="H13" i="1"/>
  <c r="I13" i="1"/>
  <c r="J13" i="1"/>
  <c r="K13" i="1"/>
  <c r="L13" i="1"/>
  <c r="M13" i="1"/>
  <c r="E14" i="1"/>
  <c r="F14" i="1"/>
  <c r="G14" i="1"/>
  <c r="H14" i="1"/>
  <c r="I14" i="1"/>
  <c r="J14" i="1"/>
  <c r="K14" i="1"/>
  <c r="L14" i="1"/>
  <c r="M14" i="1"/>
  <c r="E15" i="1"/>
  <c r="F15" i="1"/>
  <c r="G15" i="1"/>
  <c r="H15" i="1"/>
  <c r="I15" i="1"/>
  <c r="J15" i="1"/>
  <c r="K15" i="1"/>
  <c r="L15" i="1"/>
  <c r="M15" i="1"/>
  <c r="E16" i="1"/>
  <c r="F16" i="1"/>
  <c r="G16" i="1"/>
  <c r="H16" i="1"/>
  <c r="I16" i="1"/>
  <c r="J16" i="1"/>
  <c r="K16" i="1"/>
  <c r="L16" i="1"/>
  <c r="M16" i="1"/>
  <c r="M64" i="1" s="1"/>
  <c r="E17" i="1"/>
  <c r="F17" i="1"/>
  <c r="G17" i="1"/>
  <c r="H17" i="1"/>
  <c r="I17" i="1"/>
  <c r="J17" i="1"/>
  <c r="K17" i="1"/>
  <c r="L17" i="1"/>
  <c r="M17" i="1"/>
  <c r="E18" i="1"/>
  <c r="F18" i="1"/>
  <c r="G18" i="1"/>
  <c r="H18" i="1"/>
  <c r="I18" i="1"/>
  <c r="J18" i="1"/>
  <c r="K18" i="1"/>
  <c r="L18" i="1"/>
  <c r="M18" i="1"/>
  <c r="E19" i="1"/>
  <c r="F19" i="1"/>
  <c r="G19" i="1"/>
  <c r="H19" i="1"/>
  <c r="I19" i="1"/>
  <c r="J19" i="1"/>
  <c r="K19" i="1"/>
  <c r="L19" i="1"/>
  <c r="M19" i="1"/>
  <c r="E20" i="1"/>
  <c r="F20" i="1"/>
  <c r="G20" i="1"/>
  <c r="H20" i="1"/>
  <c r="I20" i="1"/>
  <c r="J20" i="1"/>
  <c r="K20" i="1"/>
  <c r="L20" i="1"/>
  <c r="M20" i="1"/>
  <c r="M68" i="1" s="1"/>
  <c r="E21" i="1"/>
  <c r="F21" i="1"/>
  <c r="G21" i="1"/>
  <c r="H21" i="1"/>
  <c r="I21" i="1"/>
  <c r="J21" i="1"/>
  <c r="K21" i="1"/>
  <c r="L21" i="1"/>
  <c r="M21" i="1"/>
  <c r="E22" i="1"/>
  <c r="F22" i="1"/>
  <c r="G22" i="1"/>
  <c r="H22" i="1"/>
  <c r="I22" i="1"/>
  <c r="J22" i="1"/>
  <c r="K22" i="1"/>
  <c r="L22" i="1"/>
  <c r="M22" i="1"/>
  <c r="E23" i="1"/>
  <c r="F23" i="1"/>
  <c r="G23" i="1"/>
  <c r="H23" i="1"/>
  <c r="I23" i="1"/>
  <c r="J23" i="1"/>
  <c r="K23" i="1"/>
  <c r="L23" i="1"/>
  <c r="M23" i="1"/>
  <c r="E24" i="1"/>
  <c r="F24" i="1"/>
  <c r="G24" i="1"/>
  <c r="H24" i="1"/>
  <c r="I24" i="1"/>
  <c r="J24" i="1"/>
  <c r="K24" i="1"/>
  <c r="L24" i="1"/>
  <c r="M24" i="1"/>
  <c r="M72" i="1" s="1"/>
  <c r="F8" i="1"/>
  <c r="G8" i="1"/>
  <c r="H8" i="1"/>
  <c r="I8" i="1"/>
  <c r="J8" i="1"/>
  <c r="K8" i="1"/>
  <c r="L8" i="1"/>
  <c r="M8" i="1"/>
  <c r="E8" i="1"/>
  <c r="F3" i="1"/>
  <c r="G3" i="1"/>
  <c r="H3" i="1"/>
  <c r="I3" i="1"/>
  <c r="J3" i="1"/>
  <c r="K3" i="1"/>
  <c r="L3" i="1"/>
  <c r="M3" i="1"/>
  <c r="E3" i="1"/>
  <c r="W12" i="1"/>
  <c r="F98" i="2" s="1"/>
  <c r="M81" i="1"/>
  <c r="M82" i="1"/>
  <c r="M35" i="1"/>
  <c r="M85" i="1"/>
  <c r="M86" i="1"/>
  <c r="M39" i="1"/>
  <c r="M89" i="1"/>
  <c r="M90" i="1"/>
  <c r="M43" i="1"/>
  <c r="M93" i="1"/>
  <c r="M94" i="1"/>
  <c r="M47" i="1"/>
  <c r="M80" i="1"/>
  <c r="M38" i="1" l="1"/>
  <c r="M59" i="1"/>
  <c r="M84" i="1"/>
  <c r="M34" i="1"/>
  <c r="M58" i="1"/>
  <c r="M83" i="1"/>
  <c r="M67" i="1"/>
  <c r="M92" i="1"/>
  <c r="M46" i="1"/>
  <c r="M66" i="1"/>
  <c r="M91" i="1"/>
  <c r="M44" i="1"/>
  <c r="M71" i="1"/>
  <c r="M63" i="1"/>
  <c r="M96" i="1"/>
  <c r="M88" i="1"/>
  <c r="M42" i="1"/>
  <c r="M70" i="1"/>
  <c r="M62" i="1"/>
  <c r="M95" i="1"/>
  <c r="M87" i="1"/>
  <c r="M40" i="1"/>
  <c r="M36" i="1"/>
  <c r="M56" i="1"/>
  <c r="M69" i="1"/>
  <c r="M65" i="1"/>
  <c r="M61" i="1"/>
  <c r="M57" i="1"/>
  <c r="M32" i="1"/>
  <c r="M45" i="1"/>
  <c r="M41" i="1"/>
  <c r="M37" i="1"/>
  <c r="M33" i="1"/>
  <c r="M48" i="1"/>
  <c r="F83" i="1"/>
  <c r="F87" i="1"/>
  <c r="F91" i="1"/>
  <c r="J94" i="1"/>
  <c r="P12" i="1"/>
  <c r="F21" i="2" s="1"/>
  <c r="Q12" i="1"/>
  <c r="F32" i="2" s="1"/>
  <c r="R12" i="1"/>
  <c r="F43" i="2" s="1"/>
  <c r="S12" i="1"/>
  <c r="F54" i="2" s="1"/>
  <c r="T12" i="1"/>
  <c r="F65" i="2" s="1"/>
  <c r="U12" i="1"/>
  <c r="F76" i="2" s="1"/>
  <c r="V12" i="1"/>
  <c r="F87" i="2" s="1"/>
  <c r="O12" i="1"/>
  <c r="F10" i="2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8" i="1"/>
  <c r="H92" i="1"/>
  <c r="O7" i="1"/>
  <c r="AG17" i="1"/>
  <c r="AG18" i="1"/>
  <c r="AG19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3" i="1"/>
  <c r="E82" i="1"/>
  <c r="F58" i="1"/>
  <c r="G58" i="1"/>
  <c r="H58" i="1"/>
  <c r="I82" i="1"/>
  <c r="J58" i="1"/>
  <c r="K58" i="1"/>
  <c r="L58" i="1"/>
  <c r="F56" i="1"/>
  <c r="G32" i="1"/>
  <c r="H56" i="1"/>
  <c r="I56" i="1"/>
  <c r="J80" i="1"/>
  <c r="K32" i="1"/>
  <c r="L56" i="1"/>
  <c r="F57" i="1"/>
  <c r="G57" i="1"/>
  <c r="H81" i="1"/>
  <c r="I57" i="1"/>
  <c r="J33" i="1"/>
  <c r="K57" i="1"/>
  <c r="L81" i="1"/>
  <c r="F59" i="1"/>
  <c r="G83" i="1"/>
  <c r="H83" i="1"/>
  <c r="I59" i="1"/>
  <c r="J59" i="1"/>
  <c r="K83" i="1"/>
  <c r="L83" i="1"/>
  <c r="F60" i="1"/>
  <c r="G60" i="1"/>
  <c r="H60" i="1"/>
  <c r="I84" i="1"/>
  <c r="J60" i="1"/>
  <c r="K60" i="1"/>
  <c r="L60" i="1"/>
  <c r="F61" i="1"/>
  <c r="G61" i="1"/>
  <c r="H61" i="1"/>
  <c r="I85" i="1"/>
  <c r="J61" i="1"/>
  <c r="K61" i="1"/>
  <c r="L61" i="1"/>
  <c r="F86" i="1"/>
  <c r="G62" i="1"/>
  <c r="H62" i="1"/>
  <c r="I62" i="1"/>
  <c r="J86" i="1"/>
  <c r="K62" i="1"/>
  <c r="L62" i="1"/>
  <c r="F63" i="1"/>
  <c r="G87" i="1"/>
  <c r="H63" i="1"/>
  <c r="I87" i="1"/>
  <c r="J63" i="1"/>
  <c r="K63" i="1"/>
  <c r="L63" i="1"/>
  <c r="F64" i="1"/>
  <c r="G64" i="1"/>
  <c r="H64" i="1"/>
  <c r="I88" i="1"/>
  <c r="J40" i="1"/>
  <c r="K64" i="1"/>
  <c r="L64" i="1"/>
  <c r="F65" i="1"/>
  <c r="G41" i="1"/>
  <c r="H65" i="1"/>
  <c r="I89" i="1"/>
  <c r="J65" i="1"/>
  <c r="K65" i="1"/>
  <c r="L65" i="1"/>
  <c r="F90" i="1"/>
  <c r="G66" i="1"/>
  <c r="H66" i="1"/>
  <c r="I66" i="1"/>
  <c r="J90" i="1"/>
  <c r="K66" i="1"/>
  <c r="L66" i="1"/>
  <c r="F67" i="1"/>
  <c r="G43" i="1"/>
  <c r="H67" i="1"/>
  <c r="I91" i="1"/>
  <c r="J67" i="1"/>
  <c r="K67" i="1"/>
  <c r="L67" i="1"/>
  <c r="F68" i="1"/>
  <c r="G68" i="1"/>
  <c r="I92" i="1"/>
  <c r="J68" i="1"/>
  <c r="K68" i="1"/>
  <c r="L68" i="1"/>
  <c r="F69" i="1"/>
  <c r="G69" i="1"/>
  <c r="H69" i="1"/>
  <c r="I93" i="1"/>
  <c r="J69" i="1"/>
  <c r="K69" i="1"/>
  <c r="L69" i="1"/>
  <c r="F94" i="1"/>
  <c r="G70" i="1"/>
  <c r="H70" i="1"/>
  <c r="I70" i="1"/>
  <c r="K70" i="1"/>
  <c r="L70" i="1"/>
  <c r="F71" i="1"/>
  <c r="G95" i="1"/>
  <c r="H71" i="1"/>
  <c r="I95" i="1"/>
  <c r="J71" i="1"/>
  <c r="K71" i="1"/>
  <c r="L71" i="1"/>
  <c r="F72" i="1"/>
  <c r="G72" i="1"/>
  <c r="H72" i="1"/>
  <c r="I72" i="1"/>
  <c r="J72" i="1"/>
  <c r="K72" i="1"/>
  <c r="L72" i="1"/>
  <c r="E81" i="1"/>
  <c r="E59" i="1"/>
  <c r="E60" i="1"/>
  <c r="E61" i="1"/>
  <c r="E86" i="1"/>
  <c r="E87" i="1"/>
  <c r="E88" i="1"/>
  <c r="E65" i="1"/>
  <c r="E90" i="1"/>
  <c r="E91" i="1"/>
  <c r="E92" i="1"/>
  <c r="E69" i="1"/>
  <c r="E94" i="1"/>
  <c r="E71" i="1"/>
  <c r="E72" i="1"/>
  <c r="E56" i="1"/>
  <c r="P8" i="1" l="1"/>
  <c r="T8" i="1"/>
  <c r="O8" i="1"/>
  <c r="F6" i="2" s="1"/>
  <c r="U8" i="1"/>
  <c r="Q8" i="1"/>
  <c r="R8" i="1"/>
  <c r="V8" i="1"/>
  <c r="S8" i="1"/>
  <c r="W8" i="1"/>
  <c r="F94" i="2" s="1"/>
  <c r="L80" i="1"/>
  <c r="G92" i="1"/>
  <c r="G88" i="1"/>
  <c r="G84" i="1"/>
  <c r="K82" i="1"/>
  <c r="H80" i="1"/>
  <c r="K91" i="1"/>
  <c r="K87" i="1"/>
  <c r="J91" i="1"/>
  <c r="J87" i="1"/>
  <c r="J83" i="1"/>
  <c r="K96" i="1"/>
  <c r="J84" i="1"/>
  <c r="G96" i="1"/>
  <c r="I94" i="1"/>
  <c r="K85" i="1"/>
  <c r="G48" i="1"/>
  <c r="E96" i="1"/>
  <c r="F95" i="1"/>
  <c r="G94" i="1"/>
  <c r="F92" i="1"/>
  <c r="G89" i="1"/>
  <c r="F88" i="1"/>
  <c r="G85" i="1"/>
  <c r="Q11" i="1" s="1"/>
  <c r="F31" i="2" s="1"/>
  <c r="F84" i="1"/>
  <c r="I83" i="1"/>
  <c r="J82" i="1"/>
  <c r="J95" i="1"/>
  <c r="K92" i="1"/>
  <c r="J88" i="1"/>
  <c r="F82" i="1"/>
  <c r="K80" i="1"/>
  <c r="K89" i="1"/>
  <c r="H45" i="1"/>
  <c r="G80" i="1"/>
  <c r="K95" i="1"/>
  <c r="K94" i="1"/>
  <c r="G91" i="1"/>
  <c r="K88" i="1"/>
  <c r="K84" i="1"/>
  <c r="E84" i="1"/>
  <c r="G82" i="1"/>
  <c r="K93" i="1"/>
  <c r="G93" i="1"/>
  <c r="K90" i="1"/>
  <c r="G90" i="1"/>
  <c r="K86" i="1"/>
  <c r="G86" i="1"/>
  <c r="K81" i="1"/>
  <c r="G81" i="1"/>
  <c r="J96" i="1"/>
  <c r="T11" i="1" s="1"/>
  <c r="F64" i="2" s="1"/>
  <c r="F96" i="1"/>
  <c r="P11" i="1" s="1"/>
  <c r="F20" i="2" s="1"/>
  <c r="J93" i="1"/>
  <c r="F93" i="1"/>
  <c r="J92" i="1"/>
  <c r="J89" i="1"/>
  <c r="F89" i="1"/>
  <c r="J85" i="1"/>
  <c r="F85" i="1"/>
  <c r="J81" i="1"/>
  <c r="F81" i="1"/>
  <c r="F80" i="1"/>
  <c r="I96" i="1"/>
  <c r="E95" i="1"/>
  <c r="E93" i="1"/>
  <c r="I90" i="1"/>
  <c r="E89" i="1"/>
  <c r="I86" i="1"/>
  <c r="E85" i="1"/>
  <c r="E83" i="1"/>
  <c r="I81" i="1"/>
  <c r="E80" i="1"/>
  <c r="I80" i="1"/>
  <c r="L96" i="1"/>
  <c r="H96" i="1"/>
  <c r="L95" i="1"/>
  <c r="H95" i="1"/>
  <c r="L94" i="1"/>
  <c r="H94" i="1"/>
  <c r="L93" i="1"/>
  <c r="H93" i="1"/>
  <c r="L92" i="1"/>
  <c r="L91" i="1"/>
  <c r="H91" i="1"/>
  <c r="L90" i="1"/>
  <c r="H90" i="1"/>
  <c r="L89" i="1"/>
  <c r="H89" i="1"/>
  <c r="L88" i="1"/>
  <c r="H88" i="1"/>
  <c r="L87" i="1"/>
  <c r="H87" i="1"/>
  <c r="L86" i="1"/>
  <c r="H86" i="1"/>
  <c r="L85" i="1"/>
  <c r="H85" i="1"/>
  <c r="L84" i="1"/>
  <c r="H84" i="1"/>
  <c r="L82" i="1"/>
  <c r="H82" i="1"/>
  <c r="W11" i="1"/>
  <c r="F97" i="2" s="1"/>
  <c r="W10" i="1"/>
  <c r="F96" i="2" s="1"/>
  <c r="W9" i="1"/>
  <c r="F95" i="2" s="1"/>
  <c r="H32" i="1"/>
  <c r="K43" i="1"/>
  <c r="L40" i="1"/>
  <c r="K39" i="1"/>
  <c r="L36" i="1"/>
  <c r="K35" i="1"/>
  <c r="E32" i="1"/>
  <c r="L48" i="1"/>
  <c r="K47" i="1"/>
  <c r="L44" i="1"/>
  <c r="K40" i="1"/>
  <c r="G39" i="1"/>
  <c r="K36" i="1"/>
  <c r="G35" i="1"/>
  <c r="L32" i="1"/>
  <c r="K48" i="1"/>
  <c r="G47" i="1"/>
  <c r="K44" i="1"/>
  <c r="L41" i="1"/>
  <c r="H40" i="1"/>
  <c r="L37" i="1"/>
  <c r="H36" i="1"/>
  <c r="L34" i="1"/>
  <c r="I32" i="1"/>
  <c r="H48" i="1"/>
  <c r="L45" i="1"/>
  <c r="G44" i="1"/>
  <c r="H41" i="1"/>
  <c r="G40" i="1"/>
  <c r="H37" i="1"/>
  <c r="G36" i="1"/>
  <c r="K34" i="1"/>
  <c r="H34" i="1"/>
  <c r="G34" i="1"/>
  <c r="L47" i="1"/>
  <c r="H47" i="1"/>
  <c r="L46" i="1"/>
  <c r="H46" i="1"/>
  <c r="H44" i="1"/>
  <c r="L43" i="1"/>
  <c r="H43" i="1"/>
  <c r="L42" i="1"/>
  <c r="H42" i="1"/>
  <c r="L39" i="1"/>
  <c r="H39" i="1"/>
  <c r="L38" i="1"/>
  <c r="H38" i="1"/>
  <c r="L35" i="1"/>
  <c r="H35" i="1"/>
  <c r="L33" i="1"/>
  <c r="H33" i="1"/>
  <c r="G33" i="1"/>
  <c r="K46" i="1"/>
  <c r="K45" i="1"/>
  <c r="K42" i="1"/>
  <c r="G42" i="1"/>
  <c r="G38" i="1"/>
  <c r="G37" i="1"/>
  <c r="K33" i="1"/>
  <c r="H68" i="1"/>
  <c r="J48" i="1"/>
  <c r="F48" i="1"/>
  <c r="J47" i="1"/>
  <c r="F47" i="1"/>
  <c r="J46" i="1"/>
  <c r="F46" i="1"/>
  <c r="J45" i="1"/>
  <c r="F45" i="1"/>
  <c r="J44" i="1"/>
  <c r="F44" i="1"/>
  <c r="J43" i="1"/>
  <c r="F43" i="1"/>
  <c r="J42" i="1"/>
  <c r="F42" i="1"/>
  <c r="J41" i="1"/>
  <c r="F41" i="1"/>
  <c r="F40" i="1"/>
  <c r="J39" i="1"/>
  <c r="F39" i="1"/>
  <c r="J38" i="1"/>
  <c r="F38" i="1"/>
  <c r="J37" i="1"/>
  <c r="F37" i="1"/>
  <c r="J36" i="1"/>
  <c r="F36" i="1"/>
  <c r="J35" i="1"/>
  <c r="F35" i="1"/>
  <c r="J34" i="1"/>
  <c r="F34" i="1"/>
  <c r="F33" i="1"/>
  <c r="G46" i="1"/>
  <c r="G45" i="1"/>
  <c r="K41" i="1"/>
  <c r="K38" i="1"/>
  <c r="K37" i="1"/>
  <c r="J32" i="1"/>
  <c r="F32" i="1"/>
  <c r="I48" i="1"/>
  <c r="E48" i="1"/>
  <c r="I47" i="1"/>
  <c r="E47" i="1"/>
  <c r="I46" i="1"/>
  <c r="E46" i="1"/>
  <c r="I45" i="1"/>
  <c r="E45" i="1"/>
  <c r="I44" i="1"/>
  <c r="E44" i="1"/>
  <c r="I43" i="1"/>
  <c r="E43" i="1"/>
  <c r="I42" i="1"/>
  <c r="E42" i="1"/>
  <c r="I41" i="1"/>
  <c r="E41" i="1"/>
  <c r="I40" i="1"/>
  <c r="E40" i="1"/>
  <c r="I39" i="1"/>
  <c r="E39" i="1"/>
  <c r="I38" i="1"/>
  <c r="E38" i="1"/>
  <c r="I37" i="1"/>
  <c r="E37" i="1"/>
  <c r="I36" i="1"/>
  <c r="E36" i="1"/>
  <c r="I35" i="1"/>
  <c r="E35" i="1"/>
  <c r="I34" i="1"/>
  <c r="E34" i="1"/>
  <c r="I33" i="1"/>
  <c r="E33" i="1"/>
  <c r="U11" i="1"/>
  <c r="F75" i="2" s="1"/>
  <c r="S10" i="1"/>
  <c r="P10" i="1"/>
  <c r="I58" i="1"/>
  <c r="E58" i="1"/>
  <c r="G56" i="1"/>
  <c r="Q10" i="1" s="1"/>
  <c r="K56" i="1"/>
  <c r="U10" i="1" s="1"/>
  <c r="E66" i="1"/>
  <c r="E62" i="1"/>
  <c r="E57" i="1"/>
  <c r="O10" i="1" s="1"/>
  <c r="F70" i="1"/>
  <c r="I69" i="1"/>
  <c r="G67" i="1"/>
  <c r="F66" i="1"/>
  <c r="I65" i="1"/>
  <c r="G63" i="1"/>
  <c r="J62" i="1"/>
  <c r="F62" i="1"/>
  <c r="I61" i="1"/>
  <c r="K59" i="1"/>
  <c r="G59" i="1"/>
  <c r="E70" i="1"/>
  <c r="J70" i="1"/>
  <c r="J57" i="1"/>
  <c r="G71" i="1"/>
  <c r="J66" i="1"/>
  <c r="E68" i="1"/>
  <c r="E64" i="1"/>
  <c r="I67" i="1"/>
  <c r="I63" i="1"/>
  <c r="L57" i="1"/>
  <c r="V10" i="1" s="1"/>
  <c r="H57" i="1"/>
  <c r="R10" i="1" s="1"/>
  <c r="G65" i="1"/>
  <c r="J64" i="1"/>
  <c r="E67" i="1"/>
  <c r="E63" i="1"/>
  <c r="I68" i="1"/>
  <c r="I64" i="1"/>
  <c r="I60" i="1"/>
  <c r="L59" i="1"/>
  <c r="H59" i="1"/>
  <c r="J56" i="1"/>
  <c r="I71" i="1"/>
  <c r="R11" i="1" l="1"/>
  <c r="F42" i="2" s="1"/>
  <c r="V11" i="1"/>
  <c r="F86" i="2" s="1"/>
  <c r="T10" i="1"/>
  <c r="F63" i="2" s="1"/>
  <c r="S11" i="1"/>
  <c r="F53" i="2" s="1"/>
  <c r="O11" i="1"/>
  <c r="F9" i="2" s="1"/>
  <c r="F85" i="2"/>
  <c r="F83" i="2"/>
  <c r="F52" i="2"/>
  <c r="F61" i="2"/>
  <c r="F28" i="2"/>
  <c r="F72" i="2"/>
  <c r="F41" i="2"/>
  <c r="F17" i="2"/>
  <c r="F30" i="2"/>
  <c r="F74" i="2"/>
  <c r="F39" i="2"/>
  <c r="F50" i="2"/>
  <c r="F19" i="2"/>
  <c r="F8" i="2"/>
  <c r="U9" i="1" l="1"/>
  <c r="F73" i="2" s="1"/>
  <c r="Q9" i="1"/>
  <c r="F29" i="2" s="1"/>
  <c r="S9" i="1"/>
  <c r="F51" i="2" s="1"/>
  <c r="R9" i="1"/>
  <c r="F40" i="2" s="1"/>
  <c r="T9" i="1"/>
  <c r="F62" i="2" s="1"/>
  <c r="O9" i="1"/>
  <c r="F7" i="2" s="1"/>
  <c r="V9" i="1"/>
  <c r="F84" i="2" s="1"/>
  <c r="P9" i="1" l="1"/>
  <c r="F18" i="2" l="1"/>
</calcChain>
</file>

<file path=xl/sharedStrings.xml><?xml version="1.0" encoding="utf-8"?>
<sst xmlns="http://schemas.openxmlformats.org/spreadsheetml/2006/main" count="81" uniqueCount="27">
  <si>
    <t>x</t>
  </si>
  <si>
    <t>y</t>
  </si>
  <si>
    <t>px</t>
  </si>
  <si>
    <t>itemScale =</t>
  </si>
  <si>
    <t>Calculate maxItems</t>
  </si>
  <si>
    <t>&lt;aspectRatio name="1:1"&gt;</t>
  </si>
  <si>
    <t>&lt;view name="gamelist"&gt;</t>
  </si>
  <si>
    <t>&lt;carousel name="game-carousel"&gt;</t>
  </si>
  <si>
    <t>&lt;/carousel&gt;</t>
  </si>
  <si>
    <t>&lt;/view&gt;</t>
  </si>
  <si>
    <t>&lt;/aspectRatio&gt;</t>
  </si>
  <si>
    <t>&lt;aspectRatio name="5:4"&gt;</t>
  </si>
  <si>
    <t>&lt;aspectRatio name="4:3"&gt;</t>
  </si>
  <si>
    <t>&lt;aspectRatio name="3:2"&gt;</t>
  </si>
  <si>
    <t>&lt;aspectRatio name="16:10"&gt;</t>
  </si>
  <si>
    <t>&lt;aspectRatio name="16:9"&gt;</t>
  </si>
  <si>
    <t>&lt;aspectRatio name="19.5:9"&gt;</t>
  </si>
  <si>
    <t>&lt;aspectRatio name="21:9"&gt;</t>
  </si>
  <si>
    <t>&lt;theme&gt;</t>
  </si>
  <si>
    <t>&lt;/theme&gt;</t>
  </si>
  <si>
    <t xml:space="preserve"> </t>
  </si>
  <si>
    <t>Calculate horizontalOffset</t>
  </si>
  <si>
    <t>752-1440</t>
  </si>
  <si>
    <t>Calculate X for itemSize Y =</t>
  </si>
  <si>
    <t>Calculate margins =</t>
  </si>
  <si>
    <t>&lt;aspectRatio name="8:7"&gt;</t>
  </si>
  <si>
    <t>Compendium - coversize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</si>
</sst>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wrapText="1"/>
    </xf>
    <xf numFmtId="0" fontId="0" fillId="2" borderId="1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3</xdr:row>
          <xdr:rowOff>161925</xdr:rowOff>
        </xdr:from>
        <xdr:to>
          <xdr:col>14</xdr:col>
          <xdr:colOff>200025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1E-70F4-4FDA-84AA-FB1BC6825221}">
  <sheetPr codeName="Sheet1"/>
  <dimension ref="A1:AG96"/>
  <sheetViews>
    <sheetView tabSelected="1" zoomScaleNormal="100" workbookViewId="0">
      <selection activeCell="D3" sqref="D3"/>
    </sheetView>
  </sheetViews>
  <sheetFormatPr defaultRowHeight="15" x14ac:dyDescent="0.25"/>
  <cols>
    <col min="8" max="8" width="11.5703125" bestFit="1" customWidth="1"/>
    <col min="15" max="16" width="9.140625" customWidth="1"/>
    <col min="22" max="22" width="9.140625" customWidth="1"/>
  </cols>
  <sheetData>
    <row r="1" spans="1:33" x14ac:dyDescent="0.25">
      <c r="B1" s="2"/>
      <c r="C1" s="2"/>
      <c r="D1" s="2"/>
      <c r="E1" s="3" t="s">
        <v>26</v>
      </c>
      <c r="F1" s="2"/>
      <c r="G1" s="2"/>
      <c r="H1" s="2"/>
      <c r="I1" s="2"/>
      <c r="J1" s="2"/>
      <c r="K1" s="2"/>
      <c r="L1" s="2"/>
    </row>
    <row r="2" spans="1:33" x14ac:dyDescent="0.25">
      <c r="B2" s="2"/>
      <c r="C2" s="2"/>
      <c r="D2" s="2"/>
      <c r="E2" s="3" t="s">
        <v>23</v>
      </c>
      <c r="F2" s="2"/>
      <c r="G2" s="2"/>
      <c r="H2" s="6">
        <v>0.22500000000000001</v>
      </c>
      <c r="I2" s="2"/>
      <c r="J2" s="2"/>
      <c r="K2" s="2"/>
      <c r="L2" s="2"/>
    </row>
    <row r="3" spans="1:33" x14ac:dyDescent="0.25">
      <c r="B3" s="2"/>
      <c r="C3" s="2"/>
      <c r="D3" s="2"/>
      <c r="E3" s="3">
        <f>0.2+(E4/E5*0.03)</f>
        <v>0.23</v>
      </c>
      <c r="F3" s="3">
        <f t="shared" ref="F3:M3" si="0">0.2+(F4/F5*0.03)</f>
        <v>0.23750000000000002</v>
      </c>
      <c r="G3" s="3">
        <f t="shared" si="0"/>
        <v>0.24</v>
      </c>
      <c r="H3" s="3">
        <f t="shared" si="0"/>
        <v>0.245</v>
      </c>
      <c r="I3" s="3">
        <f t="shared" si="0"/>
        <v>0.248</v>
      </c>
      <c r="J3" s="3">
        <f t="shared" si="0"/>
        <v>0.25333333333333335</v>
      </c>
      <c r="K3" s="3">
        <f t="shared" si="0"/>
        <v>0.26500000000000001</v>
      </c>
      <c r="L3" s="3">
        <f t="shared" si="0"/>
        <v>0.27</v>
      </c>
      <c r="M3" s="3">
        <f t="shared" si="0"/>
        <v>0.23428571428571429</v>
      </c>
      <c r="AG3" s="1" t="str">
        <f t="shared" ref="AG3:AG19" si="1">B8&amp;"-"&amp;C8</f>
        <v>1-1</v>
      </c>
    </row>
    <row r="4" spans="1:33" x14ac:dyDescent="0.25">
      <c r="B4" s="2"/>
      <c r="C4" s="2"/>
      <c r="D4" s="2"/>
      <c r="E4" s="4">
        <v>1</v>
      </c>
      <c r="F4" s="4">
        <v>5</v>
      </c>
      <c r="G4" s="4">
        <v>4</v>
      </c>
      <c r="H4" s="4">
        <v>3</v>
      </c>
      <c r="I4" s="4">
        <v>16</v>
      </c>
      <c r="J4" s="4">
        <v>16</v>
      </c>
      <c r="K4" s="4">
        <v>19.5</v>
      </c>
      <c r="L4" s="4">
        <v>21</v>
      </c>
      <c r="M4" s="4">
        <v>8</v>
      </c>
      <c r="O4" s="4">
        <v>1</v>
      </c>
      <c r="P4" s="4">
        <v>5</v>
      </c>
      <c r="Q4" s="4">
        <v>4</v>
      </c>
      <c r="R4" s="4">
        <v>3</v>
      </c>
      <c r="S4" s="4">
        <v>16</v>
      </c>
      <c r="T4" s="4">
        <v>16</v>
      </c>
      <c r="U4" s="4">
        <v>19.5</v>
      </c>
      <c r="V4" s="4">
        <v>21</v>
      </c>
      <c r="W4" s="4">
        <v>8</v>
      </c>
      <c r="AG4" s="1" t="str">
        <f t="shared" si="1"/>
        <v>1-2</v>
      </c>
    </row>
    <row r="5" spans="1:33" x14ac:dyDescent="0.25">
      <c r="B5" s="2"/>
      <c r="C5" s="2"/>
      <c r="D5" s="2"/>
      <c r="E5" s="4">
        <v>1</v>
      </c>
      <c r="F5" s="4">
        <v>4</v>
      </c>
      <c r="G5" s="4">
        <v>3</v>
      </c>
      <c r="H5" s="4">
        <v>2</v>
      </c>
      <c r="I5" s="4">
        <v>10</v>
      </c>
      <c r="J5" s="4">
        <v>9</v>
      </c>
      <c r="K5" s="4">
        <v>9</v>
      </c>
      <c r="L5" s="4">
        <v>9</v>
      </c>
      <c r="M5" s="4">
        <v>7</v>
      </c>
      <c r="O5" s="4">
        <v>1</v>
      </c>
      <c r="P5" s="4">
        <v>4</v>
      </c>
      <c r="Q5" s="4">
        <v>3</v>
      </c>
      <c r="R5" s="4">
        <v>2</v>
      </c>
      <c r="S5" s="4">
        <v>10</v>
      </c>
      <c r="T5" s="4">
        <v>9</v>
      </c>
      <c r="U5" s="4">
        <v>9</v>
      </c>
      <c r="V5" s="4">
        <v>9</v>
      </c>
      <c r="W5" s="4">
        <v>7</v>
      </c>
      <c r="AG5" s="1" t="str">
        <f t="shared" si="1"/>
        <v>2-3</v>
      </c>
    </row>
    <row r="6" spans="1:33" x14ac:dyDescent="0.25">
      <c r="D6" s="4" t="s">
        <v>0</v>
      </c>
      <c r="E6" s="4">
        <v>720</v>
      </c>
      <c r="F6" s="4">
        <v>900</v>
      </c>
      <c r="G6" s="4">
        <v>960</v>
      </c>
      <c r="H6" s="4">
        <v>1080</v>
      </c>
      <c r="I6" s="4">
        <v>1152</v>
      </c>
      <c r="J6" s="4">
        <v>1280</v>
      </c>
      <c r="K6" s="4">
        <v>1560</v>
      </c>
      <c r="L6" s="4">
        <v>1680</v>
      </c>
      <c r="M6">
        <v>1240</v>
      </c>
      <c r="AG6" s="1" t="str">
        <f t="shared" si="1"/>
        <v>3-4</v>
      </c>
    </row>
    <row r="7" spans="1:33" x14ac:dyDescent="0.25">
      <c r="B7" s="2" t="s">
        <v>0</v>
      </c>
      <c r="C7" s="2" t="s">
        <v>1</v>
      </c>
      <c r="D7" s="4" t="s">
        <v>1</v>
      </c>
      <c r="E7" s="4">
        <v>720</v>
      </c>
      <c r="F7" s="4">
        <v>720</v>
      </c>
      <c r="G7" s="4">
        <v>720</v>
      </c>
      <c r="H7" s="4">
        <v>720</v>
      </c>
      <c r="I7" s="4">
        <v>720</v>
      </c>
      <c r="J7" s="4">
        <v>720</v>
      </c>
      <c r="K7" s="4">
        <v>720</v>
      </c>
      <c r="L7" s="4">
        <v>720</v>
      </c>
      <c r="M7" s="4">
        <v>1080</v>
      </c>
      <c r="O7" t="str">
        <f>xml!M2</f>
        <v>752-1440</v>
      </c>
      <c r="P7" t="s">
        <v>20</v>
      </c>
      <c r="AG7" s="1" t="str">
        <f t="shared" si="1"/>
        <v>3-5</v>
      </c>
    </row>
    <row r="8" spans="1:33" x14ac:dyDescent="0.25">
      <c r="A8">
        <f>B8/C8</f>
        <v>1</v>
      </c>
      <c r="B8" s="4">
        <v>1</v>
      </c>
      <c r="C8" s="4">
        <v>1</v>
      </c>
      <c r="E8">
        <f>E$3*E$7*$B8/$C8/E$6</f>
        <v>0.22999999999999998</v>
      </c>
      <c r="F8">
        <f t="shared" ref="F8:M23" si="2">F$3*F$7*$B8/$C8/F$6</f>
        <v>0.19</v>
      </c>
      <c r="G8">
        <f t="shared" si="2"/>
        <v>0.18</v>
      </c>
      <c r="H8">
        <f t="shared" si="2"/>
        <v>0.16333333333333333</v>
      </c>
      <c r="I8">
        <f t="shared" si="2"/>
        <v>0.155</v>
      </c>
      <c r="J8">
        <f t="shared" si="2"/>
        <v>0.14250000000000002</v>
      </c>
      <c r="K8">
        <f t="shared" si="2"/>
        <v>0.12230769230769231</v>
      </c>
      <c r="L8">
        <f t="shared" si="2"/>
        <v>0.11571428571428571</v>
      </c>
      <c r="M8">
        <f t="shared" si="2"/>
        <v>0.20405529953917051</v>
      </c>
      <c r="O8" t="str">
        <f t="shared" ref="O8:W8" ca="1" si="3">"&lt;itemSize&gt;"&amp;(OFFSET(E$8,(MATCH($O$7,$AG$3:$AG$19,0)-1),0))&amp;" "&amp;E3&amp;"&lt;/itemSize&gt;"</f>
        <v>&lt;itemSize&gt;0.120111111111111 0.23&lt;/itemSize&gt;</v>
      </c>
      <c r="P8" t="str">
        <f t="shared" ca="1" si="3"/>
        <v>&lt;itemSize&gt;0.0992222222222222 0.2375&lt;/itemSize&gt;</v>
      </c>
      <c r="Q8" t="str">
        <f t="shared" ca="1" si="3"/>
        <v>&lt;itemSize&gt;0.094 0.24&lt;/itemSize&gt;</v>
      </c>
      <c r="R8" t="str">
        <f t="shared" ca="1" si="3"/>
        <v>&lt;itemSize&gt;0.0852962962962963 0.245&lt;/itemSize&gt;</v>
      </c>
      <c r="S8" t="str">
        <f t="shared" ca="1" si="3"/>
        <v>&lt;itemSize&gt;0.0809444444444444 0.248&lt;/itemSize&gt;</v>
      </c>
      <c r="T8" t="str">
        <f t="shared" ca="1" si="3"/>
        <v>&lt;itemSize&gt;0.0744166666666667 0.253333333333333&lt;/itemSize&gt;</v>
      </c>
      <c r="U8" t="str">
        <f t="shared" ca="1" si="3"/>
        <v>&lt;itemSize&gt;0.0638717948717949 0.265&lt;/itemSize&gt;</v>
      </c>
      <c r="V8" t="str">
        <f t="shared" ca="1" si="3"/>
        <v>&lt;itemSize&gt;0.0604285714285714 0.27&lt;/itemSize&gt;</v>
      </c>
      <c r="W8" t="str">
        <f t="shared" ca="1" si="3"/>
        <v>&lt;itemSize&gt;0.106562211981567 0.234285714285714&lt;/itemSize&gt;</v>
      </c>
      <c r="X8" s="4"/>
      <c r="Y8" s="4"/>
      <c r="Z8" s="4"/>
      <c r="AA8" s="4"/>
      <c r="AB8" s="4"/>
      <c r="AC8" s="4"/>
      <c r="AE8" s="4"/>
      <c r="AF8" s="4"/>
      <c r="AG8" s="1" t="str">
        <f t="shared" si="1"/>
        <v>4-3</v>
      </c>
    </row>
    <row r="9" spans="1:33" x14ac:dyDescent="0.25">
      <c r="A9">
        <f t="shared" ref="A9:A24" si="4">B9/C9</f>
        <v>0.5</v>
      </c>
      <c r="B9" s="4">
        <v>1</v>
      </c>
      <c r="C9" s="4">
        <v>2</v>
      </c>
      <c r="E9">
        <f t="shared" ref="E9:M24" si="5">E$3*E$7*$B9/$C9/E$6</f>
        <v>0.11499999999999999</v>
      </c>
      <c r="F9">
        <f t="shared" si="2"/>
        <v>9.5000000000000001E-2</v>
      </c>
      <c r="G9">
        <f t="shared" si="2"/>
        <v>0.09</v>
      </c>
      <c r="H9">
        <f t="shared" si="2"/>
        <v>8.1666666666666665E-2</v>
      </c>
      <c r="I9">
        <f t="shared" si="2"/>
        <v>7.7499999999999999E-2</v>
      </c>
      <c r="J9">
        <f t="shared" si="2"/>
        <v>7.1250000000000008E-2</v>
      </c>
      <c r="K9">
        <f t="shared" si="2"/>
        <v>6.1153846153846156E-2</v>
      </c>
      <c r="L9">
        <f t="shared" si="2"/>
        <v>5.7857142857142857E-2</v>
      </c>
      <c r="M9">
        <f t="shared" si="2"/>
        <v>0.10202764976958525</v>
      </c>
      <c r="O9" t="str">
        <f t="shared" ref="O9:W9" ca="1" si="6">"&lt;selectedItemMargins&gt;0.5 "&amp;(OFFSET(E$32,(MATCH($O$7,$AG$3:$AG$19,0)-1),0))&amp;"&lt;/selectedItemMargins&gt;"</f>
        <v>&lt;selectedItemMargins&gt;0.5 0.0300277777777778&lt;/selectedItemMargins&gt;</v>
      </c>
      <c r="P9" t="str">
        <f t="shared" ca="1" si="6"/>
        <v>&lt;selectedItemMargins&gt;0.5 0.0248055555555556&lt;/selectedItemMargins&gt;</v>
      </c>
      <c r="Q9" t="str">
        <f t="shared" ca="1" si="6"/>
        <v>&lt;selectedItemMargins&gt;0.5 0.0235&lt;/selectedItemMargins&gt;</v>
      </c>
      <c r="R9" t="str">
        <f t="shared" ca="1" si="6"/>
        <v>&lt;selectedItemMargins&gt;0.5 0.0213240740740741&lt;/selectedItemMargins&gt;</v>
      </c>
      <c r="S9" t="str">
        <f t="shared" ca="1" si="6"/>
        <v>&lt;selectedItemMargins&gt;0.5 0.0202361111111111&lt;/selectedItemMargins&gt;</v>
      </c>
      <c r="T9" t="str">
        <f t="shared" ca="1" si="6"/>
        <v>&lt;selectedItemMargins&gt;0.5 0.0186041666666667&lt;/selectedItemMargins&gt;</v>
      </c>
      <c r="U9" t="str">
        <f t="shared" ca="1" si="6"/>
        <v>&lt;selectedItemMargins&gt;0.5 0.0159679487179487&lt;/selectedItemMargins&gt;</v>
      </c>
      <c r="V9" t="str">
        <f t="shared" ca="1" si="6"/>
        <v>&lt;selectedItemMargins&gt;0.5 0.0151071428571429&lt;/selectedItemMargins&gt;</v>
      </c>
      <c r="W9" t="str">
        <f t="shared" ca="1" si="6"/>
        <v>&lt;selectedItemMargins&gt;0.5 0.0266405529953917&lt;/selectedItemMargins&gt;</v>
      </c>
      <c r="X9" s="4"/>
      <c r="Y9" s="4"/>
      <c r="Z9" s="4"/>
      <c r="AA9" s="4"/>
      <c r="AB9" s="4"/>
      <c r="AC9" s="4"/>
      <c r="AE9" s="4"/>
      <c r="AF9" s="4"/>
      <c r="AG9" s="1" t="str">
        <f t="shared" si="1"/>
        <v>5-7</v>
      </c>
    </row>
    <row r="10" spans="1:33" x14ac:dyDescent="0.25">
      <c r="A10">
        <f t="shared" si="4"/>
        <v>0.66666666666666663</v>
      </c>
      <c r="B10" s="4">
        <v>2</v>
      </c>
      <c r="C10" s="4">
        <v>3</v>
      </c>
      <c r="E10">
        <f t="shared" si="5"/>
        <v>0.15333333333333332</v>
      </c>
      <c r="F10">
        <f t="shared" si="2"/>
        <v>0.12666666666666668</v>
      </c>
      <c r="G10">
        <f t="shared" si="2"/>
        <v>0.11999999999999998</v>
      </c>
      <c r="H10">
        <f t="shared" si="2"/>
        <v>0.1088888888888889</v>
      </c>
      <c r="I10">
        <f t="shared" si="2"/>
        <v>0.10333333333333333</v>
      </c>
      <c r="J10">
        <f t="shared" si="2"/>
        <v>9.5000000000000001E-2</v>
      </c>
      <c r="K10">
        <f t="shared" si="2"/>
        <v>8.1538461538461546E-2</v>
      </c>
      <c r="L10">
        <f t="shared" si="2"/>
        <v>7.7142857142857138E-2</v>
      </c>
      <c r="M10">
        <f t="shared" si="2"/>
        <v>0.13603686635944701</v>
      </c>
      <c r="O10" t="str">
        <f t="shared" ref="O10:W10" ca="1" si="7">"&lt;maxItemCount&gt;"&amp;(OFFSET(E$56,(MATCH($O$7,$AG$3:$AG$19,0)-1),0))&amp;"&lt;/maxItemCount&gt;"</f>
        <v>&lt;maxItemCount&gt;7.46268656716418&lt;/maxItemCount&gt;</v>
      </c>
      <c r="P10" t="str">
        <f t="shared" ca="1" si="7"/>
        <v>&lt;maxItemCount&gt;9.06344410876133&lt;/maxItemCount&gt;</v>
      </c>
      <c r="Q10" t="str">
        <f t="shared" ca="1" si="7"/>
        <v>&lt;maxItemCount&gt;9.57701516360734&lt;/maxItemCount&gt;</v>
      </c>
      <c r="R10" t="str">
        <f t="shared" ca="1" si="7"/>
        <v>&lt;maxItemCount&gt;10.5757931844888&lt;/maxItemCount&gt;</v>
      </c>
      <c r="S10" t="str">
        <f t="shared" ca="1" si="7"/>
        <v>&lt;maxItemCount&gt;11.1576011157601&lt;/maxItemCount&gt;</v>
      </c>
      <c r="T10" t="str">
        <f t="shared" ca="1" si="7"/>
        <v>&lt;maxItemCount&gt;12.1611350392703&lt;/maxItemCount&gt;</v>
      </c>
      <c r="U10" t="str">
        <f t="shared" ca="1" si="7"/>
        <v>&lt;maxItemCount&gt;14.2283838015323&lt;/maxItemCount&gt;</v>
      </c>
      <c r="V10" t="str">
        <f t="shared" ca="1" si="7"/>
        <v>&lt;maxItemCount&gt;15.06456241033&lt;/maxItemCount&gt;</v>
      </c>
      <c r="W10" t="str">
        <f t="shared" ca="1" si="7"/>
        <v>&lt;maxItemCount&gt;8.72396880276594&lt;/maxItemCount&gt;</v>
      </c>
      <c r="AG10" s="1" t="str">
        <f t="shared" si="1"/>
        <v>99-168</v>
      </c>
    </row>
    <row r="11" spans="1:33" x14ac:dyDescent="0.25">
      <c r="A11">
        <f t="shared" si="4"/>
        <v>0.75</v>
      </c>
      <c r="B11" s="4">
        <v>3</v>
      </c>
      <c r="C11" s="4">
        <v>4</v>
      </c>
      <c r="E11">
        <f t="shared" si="5"/>
        <v>0.17249999999999999</v>
      </c>
      <c r="F11">
        <f t="shared" si="2"/>
        <v>0.14249999999999999</v>
      </c>
      <c r="G11">
        <f t="shared" si="2"/>
        <v>0.13499999999999998</v>
      </c>
      <c r="H11">
        <f t="shared" si="2"/>
        <v>0.12250000000000001</v>
      </c>
      <c r="I11">
        <f t="shared" si="2"/>
        <v>0.11625000000000002</v>
      </c>
      <c r="J11">
        <f t="shared" si="2"/>
        <v>0.10687500000000001</v>
      </c>
      <c r="K11">
        <f t="shared" si="2"/>
        <v>9.1730769230769241E-2</v>
      </c>
      <c r="L11">
        <f t="shared" si="2"/>
        <v>8.6785714285714299E-2</v>
      </c>
      <c r="M11">
        <f t="shared" si="2"/>
        <v>0.15304147465437787</v>
      </c>
      <c r="O11" t="str">
        <f t="shared" ref="O11:W11" ca="1" si="8">"&lt;horizontalOffset&gt;"&amp;(OFFSET(E$80,(MATCH($O$7,$AG$3:$AG$19,0)-1),0))&amp;"&lt;/horizontalOffset&gt;"</f>
        <v>&lt;horizontalOffset&gt;-0.409916666666667&lt;/horizontalOffset&gt;</v>
      </c>
      <c r="P11" t="str">
        <f t="shared" ca="1" si="8"/>
        <v>&lt;horizontalOffset&gt;-0.425583333333333&lt;/horizontalOffset&gt;</v>
      </c>
      <c r="Q11" t="str">
        <f t="shared" ca="1" si="8"/>
        <v>&lt;horizontalOffset&gt;-0.4295&lt;/horizontalOffset&gt;</v>
      </c>
      <c r="R11" t="str">
        <f t="shared" ca="1" si="8"/>
        <v>&lt;horizontalOffset&gt;-0.436027777777778&lt;/horizontalOffset&gt;</v>
      </c>
      <c r="S11" t="str">
        <f t="shared" ca="1" si="8"/>
        <v>&lt;horizontalOffset&gt;-0.439291666666667&lt;/horizontalOffset&gt;</v>
      </c>
      <c r="T11" t="str">
        <f t="shared" ca="1" si="8"/>
        <v>&lt;horizontalOffset&gt;-0.4441875&lt;/horizontalOffset&gt;</v>
      </c>
      <c r="U11" t="str">
        <f t="shared" ca="1" si="8"/>
        <v>&lt;horizontalOffset&gt;-0.452096153846154&lt;/horizontalOffset&gt;</v>
      </c>
      <c r="V11" t="str">
        <f t="shared" ca="1" si="8"/>
        <v>&lt;horizontalOffset&gt;-0.454678571428571&lt;/horizontalOffset&gt;</v>
      </c>
      <c r="W11" t="str">
        <f t="shared" ca="1" si="8"/>
        <v>&lt;horizontalOffset&gt;-0.420078341013825&lt;/horizontalOffset&gt;</v>
      </c>
      <c r="AG11" s="1" t="str">
        <f t="shared" si="1"/>
        <v>105-170</v>
      </c>
    </row>
    <row r="12" spans="1:33" x14ac:dyDescent="0.25">
      <c r="A12">
        <f t="shared" si="4"/>
        <v>0.6</v>
      </c>
      <c r="B12" s="4">
        <v>3</v>
      </c>
      <c r="C12" s="4">
        <v>5</v>
      </c>
      <c r="E12">
        <f t="shared" si="5"/>
        <v>0.13799999999999998</v>
      </c>
      <c r="F12">
        <f t="shared" si="2"/>
        <v>0.11399999999999999</v>
      </c>
      <c r="G12">
        <f t="shared" si="2"/>
        <v>0.108</v>
      </c>
      <c r="H12">
        <f t="shared" si="2"/>
        <v>9.8000000000000004E-2</v>
      </c>
      <c r="I12">
        <f t="shared" si="2"/>
        <v>9.3000000000000013E-2</v>
      </c>
      <c r="J12">
        <f t="shared" si="2"/>
        <v>8.5500000000000007E-2</v>
      </c>
      <c r="K12">
        <f t="shared" si="2"/>
        <v>7.3384615384615395E-2</v>
      </c>
      <c r="L12">
        <f t="shared" si="2"/>
        <v>6.9428571428571437E-2</v>
      </c>
      <c r="M12">
        <f t="shared" si="2"/>
        <v>0.12243317972350232</v>
      </c>
      <c r="O12" s="5" t="str">
        <f>"&lt;itemScale&gt;"&amp;$L$27&amp;"&lt;/itemScale&gt;"</f>
        <v>&lt;itemScale&gt;1.5&lt;/itemScale&gt;</v>
      </c>
      <c r="P12" s="5" t="str">
        <f t="shared" ref="P12:W12" si="9">"&lt;itemScale&gt;"&amp;$L$27&amp;"&lt;/itemScale&gt;"</f>
        <v>&lt;itemScale&gt;1.5&lt;/itemScale&gt;</v>
      </c>
      <c r="Q12" s="5" t="str">
        <f t="shared" si="9"/>
        <v>&lt;itemScale&gt;1.5&lt;/itemScale&gt;</v>
      </c>
      <c r="R12" s="5" t="str">
        <f t="shared" si="9"/>
        <v>&lt;itemScale&gt;1.5&lt;/itemScale&gt;</v>
      </c>
      <c r="S12" s="5" t="str">
        <f t="shared" si="9"/>
        <v>&lt;itemScale&gt;1.5&lt;/itemScale&gt;</v>
      </c>
      <c r="T12" s="5" t="str">
        <f t="shared" si="9"/>
        <v>&lt;itemScale&gt;1.5&lt;/itemScale&gt;</v>
      </c>
      <c r="U12" s="5" t="str">
        <f t="shared" si="9"/>
        <v>&lt;itemScale&gt;1.5&lt;/itemScale&gt;</v>
      </c>
      <c r="V12" s="5" t="str">
        <f t="shared" si="9"/>
        <v>&lt;itemScale&gt;1.5&lt;/itemScale&gt;</v>
      </c>
      <c r="W12" s="5" t="str">
        <f t="shared" si="9"/>
        <v>&lt;itemScale&gt;1.5&lt;/itemScale&gt;</v>
      </c>
      <c r="AG12" s="1" t="str">
        <f t="shared" si="1"/>
        <v>112-67</v>
      </c>
    </row>
    <row r="13" spans="1:33" x14ac:dyDescent="0.25">
      <c r="A13">
        <f t="shared" si="4"/>
        <v>1.3333333333333333</v>
      </c>
      <c r="B13" s="4">
        <v>4</v>
      </c>
      <c r="C13" s="4">
        <v>3</v>
      </c>
      <c r="E13">
        <f t="shared" si="5"/>
        <v>0.30666666666666664</v>
      </c>
      <c r="F13">
        <f t="shared" si="2"/>
        <v>0.25333333333333335</v>
      </c>
      <c r="G13">
        <f t="shared" si="2"/>
        <v>0.23999999999999996</v>
      </c>
      <c r="H13">
        <f t="shared" si="2"/>
        <v>0.21777777777777779</v>
      </c>
      <c r="I13">
        <f t="shared" si="2"/>
        <v>0.20666666666666667</v>
      </c>
      <c r="J13">
        <f t="shared" si="2"/>
        <v>0.19</v>
      </c>
      <c r="K13">
        <f t="shared" si="2"/>
        <v>0.16307692307692309</v>
      </c>
      <c r="L13">
        <f t="shared" si="2"/>
        <v>0.15428571428571428</v>
      </c>
      <c r="M13">
        <f t="shared" si="2"/>
        <v>0.27207373271889401</v>
      </c>
      <c r="AG13" s="1" t="str">
        <f t="shared" si="1"/>
        <v>135-172</v>
      </c>
    </row>
    <row r="14" spans="1:33" x14ac:dyDescent="0.25">
      <c r="A14">
        <f t="shared" si="4"/>
        <v>0.7142857142857143</v>
      </c>
      <c r="B14" s="4">
        <v>5</v>
      </c>
      <c r="C14" s="4">
        <v>7</v>
      </c>
      <c r="E14">
        <f t="shared" si="5"/>
        <v>0.16428571428571428</v>
      </c>
      <c r="F14">
        <f t="shared" si="2"/>
        <v>0.1357142857142857</v>
      </c>
      <c r="G14">
        <f t="shared" si="2"/>
        <v>0.12857142857142856</v>
      </c>
      <c r="H14">
        <f t="shared" si="2"/>
        <v>0.11666666666666667</v>
      </c>
      <c r="I14">
        <f t="shared" si="2"/>
        <v>0.11071428571428571</v>
      </c>
      <c r="J14">
        <f t="shared" si="2"/>
        <v>0.10178571428571428</v>
      </c>
      <c r="K14">
        <f t="shared" si="2"/>
        <v>8.7362637362637358E-2</v>
      </c>
      <c r="L14">
        <f t="shared" si="2"/>
        <v>8.2653061224489802E-2</v>
      </c>
      <c r="M14">
        <f t="shared" si="2"/>
        <v>0.14575378538512179</v>
      </c>
      <c r="AG14" s="1" t="str">
        <f t="shared" si="1"/>
        <v>143-207</v>
      </c>
    </row>
    <row r="15" spans="1:33" x14ac:dyDescent="0.25">
      <c r="A15">
        <f t="shared" si="4"/>
        <v>0.5892857142857143</v>
      </c>
      <c r="B15" s="4">
        <v>99</v>
      </c>
      <c r="C15" s="4">
        <v>168</v>
      </c>
      <c r="E15">
        <f t="shared" si="5"/>
        <v>0.13553571428571426</v>
      </c>
      <c r="F15">
        <f t="shared" si="2"/>
        <v>0.11196428571428571</v>
      </c>
      <c r="G15">
        <f t="shared" si="2"/>
        <v>0.10607142857142855</v>
      </c>
      <c r="H15">
        <f t="shared" si="2"/>
        <v>9.6250000000000016E-2</v>
      </c>
      <c r="I15">
        <f t="shared" si="2"/>
        <v>9.1339285714285706E-2</v>
      </c>
      <c r="J15">
        <f t="shared" si="2"/>
        <v>8.397321428571429E-2</v>
      </c>
      <c r="K15">
        <f t="shared" si="2"/>
        <v>7.2074175824175829E-2</v>
      </c>
      <c r="L15">
        <f t="shared" si="2"/>
        <v>6.818877551020408E-2</v>
      </c>
      <c r="M15">
        <f t="shared" si="2"/>
        <v>0.1202468729427255</v>
      </c>
      <c r="AG15" s="1" t="str">
        <f t="shared" si="1"/>
        <v>145-205</v>
      </c>
    </row>
    <row r="16" spans="1:33" x14ac:dyDescent="0.25">
      <c r="A16">
        <f t="shared" si="4"/>
        <v>0.61764705882352944</v>
      </c>
      <c r="B16" s="4">
        <v>105</v>
      </c>
      <c r="C16" s="4">
        <v>170</v>
      </c>
      <c r="E16">
        <f t="shared" si="5"/>
        <v>0.14205882352941177</v>
      </c>
      <c r="F16">
        <f t="shared" si="2"/>
        <v>0.11735294117647059</v>
      </c>
      <c r="G16">
        <f t="shared" si="2"/>
        <v>0.11117647058823529</v>
      </c>
      <c r="H16">
        <f t="shared" si="2"/>
        <v>0.10088235294117646</v>
      </c>
      <c r="I16">
        <f t="shared" si="2"/>
        <v>9.5735294117647057E-2</v>
      </c>
      <c r="J16">
        <f t="shared" si="2"/>
        <v>8.8014705882352939E-2</v>
      </c>
      <c r="K16">
        <f t="shared" si="2"/>
        <v>7.5542986425339367E-2</v>
      </c>
      <c r="L16">
        <f t="shared" si="2"/>
        <v>7.1470588235294119E-2</v>
      </c>
      <c r="M16">
        <f t="shared" si="2"/>
        <v>0.12603415559772296</v>
      </c>
      <c r="AG16" s="1" t="str">
        <f t="shared" si="1"/>
        <v>243-340</v>
      </c>
    </row>
    <row r="17" spans="1:33" x14ac:dyDescent="0.25">
      <c r="A17">
        <f t="shared" si="4"/>
        <v>1.6716417910447761</v>
      </c>
      <c r="B17" s="4">
        <v>112</v>
      </c>
      <c r="C17" s="4">
        <v>67</v>
      </c>
      <c r="E17">
        <f t="shared" si="5"/>
        <v>0.3844776119402985</v>
      </c>
      <c r="F17">
        <f t="shared" si="2"/>
        <v>0.31761194029850748</v>
      </c>
      <c r="G17">
        <f t="shared" si="2"/>
        <v>0.30089552238805967</v>
      </c>
      <c r="H17">
        <f t="shared" si="2"/>
        <v>0.27303482587064676</v>
      </c>
      <c r="I17">
        <f t="shared" si="2"/>
        <v>0.25910447761194028</v>
      </c>
      <c r="J17">
        <f t="shared" si="2"/>
        <v>0.23820895522388058</v>
      </c>
      <c r="K17">
        <f t="shared" si="2"/>
        <v>0.20445464982778419</v>
      </c>
      <c r="L17">
        <f t="shared" si="2"/>
        <v>0.19343283582089552</v>
      </c>
      <c r="M17">
        <f t="shared" si="2"/>
        <v>0.34110736639383732</v>
      </c>
      <c r="O17" s="4"/>
      <c r="P17" s="4"/>
      <c r="AG17" s="1" t="str">
        <f t="shared" si="1"/>
        <v>257-229</v>
      </c>
    </row>
    <row r="18" spans="1:33" x14ac:dyDescent="0.25">
      <c r="A18">
        <f t="shared" si="4"/>
        <v>0.78488372093023251</v>
      </c>
      <c r="B18" s="4">
        <v>135</v>
      </c>
      <c r="C18" s="4">
        <v>172</v>
      </c>
      <c r="E18">
        <f t="shared" si="5"/>
        <v>0.18052325581395351</v>
      </c>
      <c r="F18">
        <f t="shared" si="2"/>
        <v>0.14912790697674419</v>
      </c>
      <c r="G18">
        <f t="shared" si="2"/>
        <v>0.14127906976744184</v>
      </c>
      <c r="H18">
        <f t="shared" si="2"/>
        <v>0.12819767441860466</v>
      </c>
      <c r="I18">
        <f t="shared" si="2"/>
        <v>0.12165697674418603</v>
      </c>
      <c r="J18">
        <f t="shared" si="2"/>
        <v>0.11184593023255814</v>
      </c>
      <c r="K18">
        <f t="shared" si="2"/>
        <v>9.5997316636851515E-2</v>
      </c>
      <c r="L18">
        <f t="shared" si="2"/>
        <v>9.0822259136212627E-2</v>
      </c>
      <c r="M18">
        <f t="shared" si="2"/>
        <v>0.16015968277783732</v>
      </c>
      <c r="AG18" s="1" t="str">
        <f t="shared" si="1"/>
        <v>373-436</v>
      </c>
    </row>
    <row r="19" spans="1:33" x14ac:dyDescent="0.25">
      <c r="A19">
        <f t="shared" si="4"/>
        <v>0.6908212560386473</v>
      </c>
      <c r="B19" s="4">
        <v>143</v>
      </c>
      <c r="C19" s="4">
        <v>207</v>
      </c>
      <c r="E19">
        <f t="shared" si="5"/>
        <v>0.15888888888888889</v>
      </c>
      <c r="F19">
        <f t="shared" si="2"/>
        <v>0.131256038647343</v>
      </c>
      <c r="G19">
        <f t="shared" si="2"/>
        <v>0.12434782608695652</v>
      </c>
      <c r="H19">
        <f t="shared" si="2"/>
        <v>0.11283413848631241</v>
      </c>
      <c r="I19">
        <f t="shared" si="2"/>
        <v>0.10707729468599034</v>
      </c>
      <c r="J19">
        <f t="shared" si="2"/>
        <v>9.8442028985507246E-2</v>
      </c>
      <c r="K19">
        <f t="shared" si="2"/>
        <v>8.4492753623188407E-2</v>
      </c>
      <c r="L19">
        <f t="shared" si="2"/>
        <v>7.9937888198757773E-2</v>
      </c>
      <c r="M19">
        <f t="shared" si="2"/>
        <v>0.14096573832899217</v>
      </c>
      <c r="AG19" s="1" t="str">
        <f t="shared" si="1"/>
        <v>752-1440</v>
      </c>
    </row>
    <row r="20" spans="1:33" x14ac:dyDescent="0.25">
      <c r="A20">
        <f t="shared" si="4"/>
        <v>0.70731707317073167</v>
      </c>
      <c r="B20" s="4">
        <v>145</v>
      </c>
      <c r="C20" s="4">
        <v>205</v>
      </c>
      <c r="E20">
        <f t="shared" si="5"/>
        <v>0.16268292682926827</v>
      </c>
      <c r="F20">
        <f t="shared" si="2"/>
        <v>0.13439024390243903</v>
      </c>
      <c r="G20">
        <f t="shared" si="2"/>
        <v>0.12731707317073168</v>
      </c>
      <c r="H20">
        <f t="shared" si="2"/>
        <v>0.11552845528455284</v>
      </c>
      <c r="I20">
        <f t="shared" si="2"/>
        <v>0.10963414634146341</v>
      </c>
      <c r="J20">
        <f t="shared" si="2"/>
        <v>0.10079268292682926</v>
      </c>
      <c r="K20">
        <f t="shared" si="2"/>
        <v>8.6510318949343343E-2</v>
      </c>
      <c r="L20">
        <f t="shared" si="2"/>
        <v>8.1846689895470379E-2</v>
      </c>
      <c r="M20">
        <f t="shared" si="2"/>
        <v>0.14433179723502304</v>
      </c>
    </row>
    <row r="21" spans="1:33" x14ac:dyDescent="0.25">
      <c r="A21">
        <f t="shared" si="4"/>
        <v>0.71470588235294119</v>
      </c>
      <c r="B21" s="4">
        <v>243</v>
      </c>
      <c r="C21" s="4">
        <v>340</v>
      </c>
      <c r="E21">
        <f t="shared" si="5"/>
        <v>0.16438235294117645</v>
      </c>
      <c r="F21">
        <f t="shared" si="2"/>
        <v>0.13579411764705882</v>
      </c>
      <c r="G21">
        <f t="shared" si="2"/>
        <v>0.12864705882352939</v>
      </c>
      <c r="H21">
        <f t="shared" si="2"/>
        <v>0.11673529411764708</v>
      </c>
      <c r="I21">
        <f t="shared" si="2"/>
        <v>0.11077941176470589</v>
      </c>
      <c r="J21">
        <f t="shared" si="2"/>
        <v>0.10184558823529413</v>
      </c>
      <c r="K21">
        <f t="shared" si="2"/>
        <v>8.7414027149321269E-2</v>
      </c>
      <c r="L21">
        <f t="shared" si="2"/>
        <v>8.2701680672268907E-2</v>
      </c>
      <c r="M21">
        <f t="shared" si="2"/>
        <v>0.14583952290593657</v>
      </c>
    </row>
    <row r="22" spans="1:33" x14ac:dyDescent="0.25">
      <c r="A22">
        <f t="shared" si="4"/>
        <v>1.1222707423580787</v>
      </c>
      <c r="B22" s="4">
        <v>257</v>
      </c>
      <c r="C22" s="4">
        <v>229</v>
      </c>
      <c r="E22">
        <f t="shared" si="5"/>
        <v>0.25812227074235805</v>
      </c>
      <c r="F22">
        <f t="shared" si="2"/>
        <v>0.21323144104803493</v>
      </c>
      <c r="G22">
        <f t="shared" si="2"/>
        <v>0.20200873362445415</v>
      </c>
      <c r="H22">
        <f t="shared" si="2"/>
        <v>0.1833042212518195</v>
      </c>
      <c r="I22">
        <f t="shared" si="2"/>
        <v>0.17395196506550217</v>
      </c>
      <c r="J22">
        <f t="shared" si="2"/>
        <v>0.15992358078602623</v>
      </c>
      <c r="K22">
        <f t="shared" si="2"/>
        <v>0.13726234464225731</v>
      </c>
      <c r="L22">
        <f t="shared" si="2"/>
        <v>0.12986275733000624</v>
      </c>
      <c r="M22">
        <f t="shared" si="2"/>
        <v>0.22900529249592497</v>
      </c>
      <c r="O22" s="4"/>
      <c r="P22" s="4"/>
    </row>
    <row r="23" spans="1:33" x14ac:dyDescent="0.25">
      <c r="A23">
        <f t="shared" si="4"/>
        <v>0.85550458715596334</v>
      </c>
      <c r="B23" s="4">
        <v>373</v>
      </c>
      <c r="C23" s="4">
        <v>436</v>
      </c>
      <c r="E23">
        <f t="shared" si="5"/>
        <v>0.19676605504587152</v>
      </c>
      <c r="F23">
        <f t="shared" si="2"/>
        <v>0.16254587155963302</v>
      </c>
      <c r="G23">
        <f t="shared" si="2"/>
        <v>0.15399082568807337</v>
      </c>
      <c r="H23">
        <f t="shared" si="2"/>
        <v>0.13973241590214067</v>
      </c>
      <c r="I23">
        <f t="shared" si="2"/>
        <v>0.13260321100917433</v>
      </c>
      <c r="J23">
        <f t="shared" si="2"/>
        <v>0.12190940366972476</v>
      </c>
      <c r="K23">
        <f t="shared" si="2"/>
        <v>0.10463479181369091</v>
      </c>
      <c r="L23">
        <f t="shared" si="2"/>
        <v>9.8994102228047193E-2</v>
      </c>
      <c r="M23">
        <f t="shared" si="2"/>
        <v>0.17457024478924452</v>
      </c>
    </row>
    <row r="24" spans="1:33" x14ac:dyDescent="0.25">
      <c r="A24">
        <f t="shared" si="4"/>
        <v>0.52222222222222225</v>
      </c>
      <c r="B24" s="4">
        <v>752</v>
      </c>
      <c r="C24" s="4">
        <v>1440</v>
      </c>
      <c r="E24">
        <f t="shared" si="5"/>
        <v>0.12011111111111111</v>
      </c>
      <c r="F24">
        <f t="shared" si="5"/>
        <v>9.9222222222222226E-2</v>
      </c>
      <c r="G24">
        <f t="shared" si="5"/>
        <v>9.4E-2</v>
      </c>
      <c r="H24">
        <f t="shared" si="5"/>
        <v>8.5296296296296314E-2</v>
      </c>
      <c r="I24">
        <f t="shared" si="5"/>
        <v>8.094444444444443E-2</v>
      </c>
      <c r="J24">
        <f t="shared" si="5"/>
        <v>7.4416666666666673E-2</v>
      </c>
      <c r="K24">
        <f t="shared" si="5"/>
        <v>6.3871794871794868E-2</v>
      </c>
      <c r="L24">
        <f t="shared" si="5"/>
        <v>6.0428571428571436E-2</v>
      </c>
      <c r="M24">
        <f t="shared" si="5"/>
        <v>0.10656221198156682</v>
      </c>
    </row>
    <row r="27" spans="1:33" x14ac:dyDescent="0.25">
      <c r="E27" s="3" t="s">
        <v>24</v>
      </c>
      <c r="H27" s="7">
        <v>10</v>
      </c>
      <c r="I27" t="s">
        <v>2</v>
      </c>
      <c r="J27" s="8" t="s">
        <v>3</v>
      </c>
      <c r="L27" s="7">
        <v>1.5</v>
      </c>
      <c r="O27" s="4"/>
      <c r="P27" s="4"/>
    </row>
    <row r="28" spans="1:33" x14ac:dyDescent="0.25">
      <c r="E28" s="4">
        <v>1</v>
      </c>
      <c r="F28" s="4">
        <v>5</v>
      </c>
      <c r="G28" s="4">
        <v>4</v>
      </c>
      <c r="H28" s="4">
        <v>3</v>
      </c>
      <c r="I28" s="4">
        <v>16</v>
      </c>
      <c r="J28" s="4">
        <v>16</v>
      </c>
      <c r="K28" s="4">
        <v>19.5</v>
      </c>
      <c r="L28" s="4">
        <v>21</v>
      </c>
      <c r="M28" s="4">
        <v>8</v>
      </c>
    </row>
    <row r="29" spans="1:33" x14ac:dyDescent="0.25">
      <c r="E29" s="4">
        <v>1</v>
      </c>
      <c r="F29" s="4">
        <v>4</v>
      </c>
      <c r="G29" s="4">
        <v>3</v>
      </c>
      <c r="H29" s="4">
        <v>2</v>
      </c>
      <c r="I29" s="4">
        <v>10</v>
      </c>
      <c r="J29" s="4">
        <v>9</v>
      </c>
      <c r="K29" s="4">
        <v>9</v>
      </c>
      <c r="L29" s="4">
        <v>9</v>
      </c>
      <c r="M29" s="4">
        <v>7</v>
      </c>
    </row>
    <row r="30" spans="1:33" x14ac:dyDescent="0.25">
      <c r="B30" s="2"/>
      <c r="C30" s="2"/>
      <c r="D30" s="4" t="s">
        <v>0</v>
      </c>
      <c r="E30" s="4">
        <v>720</v>
      </c>
      <c r="F30" s="4">
        <v>900</v>
      </c>
      <c r="G30" s="4">
        <v>960</v>
      </c>
      <c r="H30" s="4">
        <v>1080</v>
      </c>
      <c r="I30" s="4">
        <v>1152</v>
      </c>
      <c r="J30" s="4">
        <v>1280</v>
      </c>
      <c r="K30" s="4">
        <v>1560</v>
      </c>
      <c r="L30" s="4">
        <v>1680</v>
      </c>
      <c r="M30">
        <v>1240</v>
      </c>
    </row>
    <row r="31" spans="1:33" x14ac:dyDescent="0.25">
      <c r="B31" s="2" t="s">
        <v>0</v>
      </c>
      <c r="C31" s="2" t="s">
        <v>1</v>
      </c>
      <c r="D31" s="4" t="s">
        <v>1</v>
      </c>
      <c r="E31" s="4">
        <v>720</v>
      </c>
      <c r="F31" s="4">
        <v>720</v>
      </c>
      <c r="G31" s="4">
        <v>720</v>
      </c>
      <c r="H31" s="4">
        <v>720</v>
      </c>
      <c r="I31" s="4">
        <v>720</v>
      </c>
      <c r="J31" s="4">
        <v>720</v>
      </c>
      <c r="K31" s="4">
        <v>720</v>
      </c>
      <c r="L31" s="4">
        <v>720</v>
      </c>
      <c r="M31" s="4">
        <v>1080</v>
      </c>
    </row>
    <row r="32" spans="1:33" x14ac:dyDescent="0.25">
      <c r="B32" s="4">
        <v>1</v>
      </c>
      <c r="C32" s="4">
        <v>1</v>
      </c>
      <c r="E32">
        <f>(E8*$L$27/2)-(E8/2)</f>
        <v>5.7499999999999996E-2</v>
      </c>
      <c r="F32">
        <f t="shared" ref="F32:M32" si="10">(F8*$L$27/2)-(F8/2)</f>
        <v>4.7500000000000014E-2</v>
      </c>
      <c r="G32">
        <f t="shared" si="10"/>
        <v>4.5000000000000012E-2</v>
      </c>
      <c r="H32">
        <f t="shared" si="10"/>
        <v>4.0833333333333333E-2</v>
      </c>
      <c r="I32">
        <f t="shared" si="10"/>
        <v>3.8749999999999993E-2</v>
      </c>
      <c r="J32">
        <f t="shared" si="10"/>
        <v>3.5625000000000004E-2</v>
      </c>
      <c r="K32">
        <f t="shared" si="10"/>
        <v>3.0576923076923071E-2</v>
      </c>
      <c r="L32">
        <f t="shared" si="10"/>
        <v>2.8928571428571428E-2</v>
      </c>
      <c r="M32">
        <f t="shared" si="10"/>
        <v>5.1013824884792641E-2</v>
      </c>
      <c r="O32" s="4"/>
      <c r="P32" s="4"/>
    </row>
    <row r="33" spans="2:16" x14ac:dyDescent="0.25">
      <c r="B33" s="4">
        <v>1</v>
      </c>
      <c r="C33" s="4">
        <v>2</v>
      </c>
      <c r="E33">
        <f t="shared" ref="E33:M33" si="11">(E9*$L$27/2)-(E9/2)</f>
        <v>2.8749999999999998E-2</v>
      </c>
      <c r="F33">
        <f t="shared" si="11"/>
        <v>2.3750000000000007E-2</v>
      </c>
      <c r="G33">
        <f t="shared" si="11"/>
        <v>2.2500000000000006E-2</v>
      </c>
      <c r="H33">
        <f t="shared" si="11"/>
        <v>2.0416666666666666E-2</v>
      </c>
      <c r="I33">
        <f t="shared" si="11"/>
        <v>1.9374999999999996E-2</v>
      </c>
      <c r="J33">
        <f t="shared" si="11"/>
        <v>1.7812500000000002E-2</v>
      </c>
      <c r="K33">
        <f t="shared" si="11"/>
        <v>1.5288461538461535E-2</v>
      </c>
      <c r="L33">
        <f t="shared" si="11"/>
        <v>1.4464285714285714E-2</v>
      </c>
      <c r="M33">
        <f t="shared" si="11"/>
        <v>2.5506912442396321E-2</v>
      </c>
    </row>
    <row r="34" spans="2:16" x14ac:dyDescent="0.25">
      <c r="B34" s="4">
        <v>2</v>
      </c>
      <c r="C34" s="4">
        <v>3</v>
      </c>
      <c r="E34">
        <f t="shared" ref="E34:M34" si="12">(E10*$L$27/2)-(E10/2)</f>
        <v>3.833333333333333E-2</v>
      </c>
      <c r="F34">
        <f t="shared" si="12"/>
        <v>3.1666666666666662E-2</v>
      </c>
      <c r="G34">
        <f t="shared" si="12"/>
        <v>2.9999999999999992E-2</v>
      </c>
      <c r="H34">
        <f t="shared" si="12"/>
        <v>2.7222222222222217E-2</v>
      </c>
      <c r="I34">
        <f t="shared" si="12"/>
        <v>2.5833333333333333E-2</v>
      </c>
      <c r="J34">
        <f t="shared" si="12"/>
        <v>2.3750000000000007E-2</v>
      </c>
      <c r="K34">
        <f t="shared" si="12"/>
        <v>2.0384615384615383E-2</v>
      </c>
      <c r="L34">
        <f t="shared" si="12"/>
        <v>1.9285714285714288E-2</v>
      </c>
      <c r="M34">
        <f t="shared" si="12"/>
        <v>3.4009216589861752E-2</v>
      </c>
    </row>
    <row r="35" spans="2:16" x14ac:dyDescent="0.25">
      <c r="B35" s="4">
        <v>3</v>
      </c>
      <c r="C35" s="4">
        <v>4</v>
      </c>
      <c r="E35">
        <f t="shared" ref="E35:M35" si="13">(E11*$L$27/2)-(E11/2)</f>
        <v>4.3124999999999997E-2</v>
      </c>
      <c r="F35">
        <f t="shared" si="13"/>
        <v>3.5625000000000004E-2</v>
      </c>
      <c r="G35">
        <f t="shared" si="13"/>
        <v>3.3749999999999988E-2</v>
      </c>
      <c r="H35">
        <f t="shared" si="13"/>
        <v>3.0625000000000006E-2</v>
      </c>
      <c r="I35">
        <f t="shared" si="13"/>
        <v>2.9062500000000005E-2</v>
      </c>
      <c r="J35">
        <f t="shared" si="13"/>
        <v>2.6718750000000006E-2</v>
      </c>
      <c r="K35">
        <f t="shared" si="13"/>
        <v>2.2932692307692314E-2</v>
      </c>
      <c r="L35">
        <f t="shared" si="13"/>
        <v>2.1696428571428575E-2</v>
      </c>
      <c r="M35">
        <f t="shared" si="13"/>
        <v>3.826036866359446E-2</v>
      </c>
    </row>
    <row r="36" spans="2:16" x14ac:dyDescent="0.25">
      <c r="B36" s="4">
        <v>3</v>
      </c>
      <c r="C36" s="4">
        <v>5</v>
      </c>
      <c r="E36">
        <f t="shared" ref="E36:M36" si="14">(E12*$L$27/2)-(E12/2)</f>
        <v>3.4499999999999989E-2</v>
      </c>
      <c r="F36">
        <f t="shared" si="14"/>
        <v>2.8499999999999998E-2</v>
      </c>
      <c r="G36">
        <f t="shared" si="14"/>
        <v>2.7000000000000003E-2</v>
      </c>
      <c r="H36">
        <f t="shared" si="14"/>
        <v>2.4500000000000008E-2</v>
      </c>
      <c r="I36">
        <f t="shared" si="14"/>
        <v>2.325E-2</v>
      </c>
      <c r="J36">
        <f t="shared" si="14"/>
        <v>2.1374999999999998E-2</v>
      </c>
      <c r="K36">
        <f t="shared" si="14"/>
        <v>1.8346153846153852E-2</v>
      </c>
      <c r="L36">
        <f t="shared" si="14"/>
        <v>1.7357142857142856E-2</v>
      </c>
      <c r="M36">
        <f t="shared" si="14"/>
        <v>3.0608294930875579E-2</v>
      </c>
    </row>
    <row r="37" spans="2:16" x14ac:dyDescent="0.25">
      <c r="B37" s="4">
        <v>4</v>
      </c>
      <c r="C37" s="4">
        <v>3</v>
      </c>
      <c r="E37">
        <f t="shared" ref="E37:M37" si="15">(E13*$L$27/2)-(E13/2)</f>
        <v>7.6666666666666661E-2</v>
      </c>
      <c r="F37">
        <f t="shared" si="15"/>
        <v>6.3333333333333325E-2</v>
      </c>
      <c r="G37">
        <f t="shared" si="15"/>
        <v>5.9999999999999984E-2</v>
      </c>
      <c r="H37">
        <f t="shared" si="15"/>
        <v>5.4444444444444434E-2</v>
      </c>
      <c r="I37">
        <f t="shared" si="15"/>
        <v>5.1666666666666666E-2</v>
      </c>
      <c r="J37">
        <f t="shared" si="15"/>
        <v>4.7500000000000014E-2</v>
      </c>
      <c r="K37">
        <f t="shared" si="15"/>
        <v>4.0769230769230766E-2</v>
      </c>
      <c r="L37">
        <f t="shared" si="15"/>
        <v>3.8571428571428576E-2</v>
      </c>
      <c r="M37">
        <f t="shared" si="15"/>
        <v>6.8018433179723503E-2</v>
      </c>
      <c r="O37" s="4"/>
      <c r="P37" s="4"/>
    </row>
    <row r="38" spans="2:16" x14ac:dyDescent="0.25">
      <c r="B38" s="4">
        <v>5</v>
      </c>
      <c r="C38" s="4">
        <v>7</v>
      </c>
      <c r="E38">
        <f t="shared" ref="E38:M38" si="16">(E14*$L$27/2)-(E14/2)</f>
        <v>4.1071428571428578E-2</v>
      </c>
      <c r="F38">
        <f t="shared" si="16"/>
        <v>3.3928571428571433E-2</v>
      </c>
      <c r="G38">
        <f t="shared" si="16"/>
        <v>3.214285714285714E-2</v>
      </c>
      <c r="H38">
        <f t="shared" si="16"/>
        <v>2.916666666666666E-2</v>
      </c>
      <c r="I38">
        <f t="shared" si="16"/>
        <v>2.7678571428571427E-2</v>
      </c>
      <c r="J38">
        <f t="shared" si="16"/>
        <v>2.5446428571428578E-2</v>
      </c>
      <c r="K38">
        <f t="shared" si="16"/>
        <v>2.1840659340659332E-2</v>
      </c>
      <c r="L38">
        <f t="shared" si="16"/>
        <v>2.0663265306122454E-2</v>
      </c>
      <c r="M38">
        <f t="shared" si="16"/>
        <v>3.6438446346280448E-2</v>
      </c>
    </row>
    <row r="39" spans="2:16" x14ac:dyDescent="0.25">
      <c r="B39" s="4">
        <v>99</v>
      </c>
      <c r="C39" s="4">
        <v>168</v>
      </c>
      <c r="E39">
        <f t="shared" ref="E39:M39" si="17">(E15*$L$27/2)-(E15/2)</f>
        <v>3.3883928571428565E-2</v>
      </c>
      <c r="F39">
        <f t="shared" si="17"/>
        <v>2.7991071428571421E-2</v>
      </c>
      <c r="G39">
        <f t="shared" si="17"/>
        <v>2.6517857142857142E-2</v>
      </c>
      <c r="H39">
        <f t="shared" si="17"/>
        <v>2.4062500000000007E-2</v>
      </c>
      <c r="I39">
        <f t="shared" si="17"/>
        <v>2.283482142857142E-2</v>
      </c>
      <c r="J39">
        <f t="shared" si="17"/>
        <v>2.0993303571428569E-2</v>
      </c>
      <c r="K39">
        <f t="shared" si="17"/>
        <v>1.8018543956043957E-2</v>
      </c>
      <c r="L39">
        <f t="shared" si="17"/>
        <v>1.704719387755102E-2</v>
      </c>
      <c r="M39">
        <f t="shared" si="17"/>
        <v>3.0061718235681371E-2</v>
      </c>
    </row>
    <row r="40" spans="2:16" x14ac:dyDescent="0.25">
      <c r="B40" s="4">
        <v>105</v>
      </c>
      <c r="C40" s="4">
        <v>170</v>
      </c>
      <c r="E40">
        <f t="shared" ref="E40:M40" si="18">(E16*$L$27/2)-(E16/2)</f>
        <v>3.5514705882352934E-2</v>
      </c>
      <c r="F40">
        <f t="shared" si="18"/>
        <v>2.9338235294117644E-2</v>
      </c>
      <c r="G40">
        <f t="shared" si="18"/>
        <v>2.7794117647058816E-2</v>
      </c>
      <c r="H40">
        <f t="shared" si="18"/>
        <v>2.5220588235294113E-2</v>
      </c>
      <c r="I40">
        <f t="shared" si="18"/>
        <v>2.3933823529411771E-2</v>
      </c>
      <c r="J40">
        <f t="shared" si="18"/>
        <v>2.2003676470588235E-2</v>
      </c>
      <c r="K40">
        <f t="shared" si="18"/>
        <v>1.8885746606334845E-2</v>
      </c>
      <c r="L40">
        <f t="shared" si="18"/>
        <v>1.786764705882353E-2</v>
      </c>
      <c r="M40">
        <f t="shared" si="18"/>
        <v>3.1508538899430741E-2</v>
      </c>
    </row>
    <row r="41" spans="2:16" x14ac:dyDescent="0.25">
      <c r="B41" s="4">
        <v>112</v>
      </c>
      <c r="C41" s="4">
        <v>67</v>
      </c>
      <c r="E41">
        <f t="shared" ref="E41:M41" si="19">(E17*$L$27/2)-(E17/2)</f>
        <v>9.6119402985074653E-2</v>
      </c>
      <c r="F41">
        <f t="shared" si="19"/>
        <v>7.9402985074626869E-2</v>
      </c>
      <c r="G41">
        <f t="shared" si="19"/>
        <v>7.522388059701493E-2</v>
      </c>
      <c r="H41">
        <f t="shared" si="19"/>
        <v>6.8258706467661689E-2</v>
      </c>
      <c r="I41">
        <f t="shared" si="19"/>
        <v>6.4776119402985083E-2</v>
      </c>
      <c r="J41">
        <f t="shared" si="19"/>
        <v>5.9552238805970131E-2</v>
      </c>
      <c r="K41">
        <f t="shared" si="19"/>
        <v>5.1113662456946055E-2</v>
      </c>
      <c r="L41">
        <f t="shared" si="19"/>
        <v>4.8358208955223872E-2</v>
      </c>
      <c r="M41">
        <f t="shared" si="19"/>
        <v>8.527684159845933E-2</v>
      </c>
    </row>
    <row r="42" spans="2:16" x14ac:dyDescent="0.25">
      <c r="B42" s="4">
        <v>135</v>
      </c>
      <c r="C42" s="4">
        <v>172</v>
      </c>
      <c r="E42">
        <f t="shared" ref="E42:M42" si="20">(E18*$L$27/2)-(E18/2)</f>
        <v>4.5130813953488363E-2</v>
      </c>
      <c r="F42">
        <f t="shared" si="20"/>
        <v>3.7281976744186054E-2</v>
      </c>
      <c r="G42">
        <f t="shared" si="20"/>
        <v>3.5319767441860453E-2</v>
      </c>
      <c r="H42">
        <f t="shared" si="20"/>
        <v>3.2049418604651173E-2</v>
      </c>
      <c r="I42">
        <f t="shared" si="20"/>
        <v>3.0414244186046512E-2</v>
      </c>
      <c r="J42">
        <f t="shared" si="20"/>
        <v>2.7961482558139537E-2</v>
      </c>
      <c r="K42">
        <f t="shared" si="20"/>
        <v>2.3999329159212879E-2</v>
      </c>
      <c r="L42">
        <f t="shared" si="20"/>
        <v>2.270556478405316E-2</v>
      </c>
      <c r="M42">
        <f t="shared" si="20"/>
        <v>4.003992069445933E-2</v>
      </c>
      <c r="O42" s="4"/>
      <c r="P42" s="4"/>
    </row>
    <row r="43" spans="2:16" x14ac:dyDescent="0.25">
      <c r="B43" s="4">
        <v>143</v>
      </c>
      <c r="C43" s="4">
        <v>207</v>
      </c>
      <c r="E43">
        <f t="shared" ref="E43:M43" si="21">(E19*$L$27/2)-(E19/2)</f>
        <v>3.9722222222222228E-2</v>
      </c>
      <c r="F43">
        <f t="shared" si="21"/>
        <v>3.2814009661835744E-2</v>
      </c>
      <c r="G43">
        <f t="shared" si="21"/>
        <v>3.1086956521739137E-2</v>
      </c>
      <c r="H43">
        <f t="shared" si="21"/>
        <v>2.8208534621578102E-2</v>
      </c>
      <c r="I43">
        <f t="shared" si="21"/>
        <v>2.6769323671497577E-2</v>
      </c>
      <c r="J43">
        <f t="shared" si="21"/>
        <v>2.4610507246376812E-2</v>
      </c>
      <c r="K43">
        <f t="shared" si="21"/>
        <v>2.1123188405797098E-2</v>
      </c>
      <c r="L43">
        <f t="shared" si="21"/>
        <v>1.9984472049689443E-2</v>
      </c>
      <c r="M43">
        <f t="shared" si="21"/>
        <v>3.5241434582248043E-2</v>
      </c>
    </row>
    <row r="44" spans="2:16" x14ac:dyDescent="0.25">
      <c r="B44" s="4">
        <v>145</v>
      </c>
      <c r="C44" s="4">
        <v>205</v>
      </c>
      <c r="E44">
        <f t="shared" ref="E44:M44" si="22">(E20*$L$27/2)-(E20/2)</f>
        <v>4.0670731707317068E-2</v>
      </c>
      <c r="F44">
        <f t="shared" si="22"/>
        <v>3.3597560975609758E-2</v>
      </c>
      <c r="G44">
        <f t="shared" si="22"/>
        <v>3.1829268292682913E-2</v>
      </c>
      <c r="H44">
        <f t="shared" si="22"/>
        <v>2.8882113821138207E-2</v>
      </c>
      <c r="I44">
        <f t="shared" si="22"/>
        <v>2.7408536585365857E-2</v>
      </c>
      <c r="J44">
        <f t="shared" si="22"/>
        <v>2.5198170731707319E-2</v>
      </c>
      <c r="K44">
        <f t="shared" si="22"/>
        <v>2.1627579737335832E-2</v>
      </c>
      <c r="L44">
        <f t="shared" si="22"/>
        <v>2.0461672473867591E-2</v>
      </c>
      <c r="M44">
        <f t="shared" si="22"/>
        <v>3.608294930875576E-2</v>
      </c>
    </row>
    <row r="45" spans="2:16" x14ac:dyDescent="0.25">
      <c r="B45" s="4">
        <v>243</v>
      </c>
      <c r="C45" s="4">
        <v>340</v>
      </c>
      <c r="E45">
        <f t="shared" ref="E45:M45" si="23">(E21*$L$27/2)-(E21/2)</f>
        <v>4.109558823529412E-2</v>
      </c>
      <c r="F45">
        <f t="shared" si="23"/>
        <v>3.3948529411764697E-2</v>
      </c>
      <c r="G45">
        <f t="shared" si="23"/>
        <v>3.2161764705882348E-2</v>
      </c>
      <c r="H45">
        <f t="shared" si="23"/>
        <v>2.9183823529411776E-2</v>
      </c>
      <c r="I45">
        <f t="shared" si="23"/>
        <v>2.7694852941176469E-2</v>
      </c>
      <c r="J45">
        <f t="shared" si="23"/>
        <v>2.546139705882354E-2</v>
      </c>
      <c r="K45">
        <f t="shared" si="23"/>
        <v>2.1853506787330314E-2</v>
      </c>
      <c r="L45">
        <f t="shared" si="23"/>
        <v>2.0675420168067227E-2</v>
      </c>
      <c r="M45">
        <f t="shared" si="23"/>
        <v>3.6459880726484137E-2</v>
      </c>
    </row>
    <row r="46" spans="2:16" x14ac:dyDescent="0.25">
      <c r="B46" s="4">
        <v>257</v>
      </c>
      <c r="C46" s="4">
        <v>229</v>
      </c>
      <c r="E46">
        <f t="shared" ref="E46:M46" si="24">(E22*$L$27/2)-(E22/2)</f>
        <v>6.4530567685589513E-2</v>
      </c>
      <c r="F46">
        <f t="shared" si="24"/>
        <v>5.3307860262008733E-2</v>
      </c>
      <c r="G46">
        <f t="shared" si="24"/>
        <v>5.0502183406113538E-2</v>
      </c>
      <c r="H46">
        <f t="shared" si="24"/>
        <v>4.5826055312954889E-2</v>
      </c>
      <c r="I46">
        <f t="shared" si="24"/>
        <v>4.348799126637555E-2</v>
      </c>
      <c r="J46">
        <f t="shared" si="24"/>
        <v>3.9980895196506563E-2</v>
      </c>
      <c r="K46">
        <f t="shared" si="24"/>
        <v>3.4315586160564335E-2</v>
      </c>
      <c r="L46">
        <f t="shared" si="24"/>
        <v>3.246568933250156E-2</v>
      </c>
      <c r="M46">
        <f t="shared" si="24"/>
        <v>5.7251323123981249E-2</v>
      </c>
    </row>
    <row r="47" spans="2:16" x14ac:dyDescent="0.25">
      <c r="B47" s="4">
        <v>373</v>
      </c>
      <c r="C47" s="4">
        <v>436</v>
      </c>
      <c r="E47">
        <f t="shared" ref="E47:M47" si="25">(E23*$L$27/2)-(E23/2)</f>
        <v>4.9191513761467881E-2</v>
      </c>
      <c r="F47">
        <f t="shared" si="25"/>
        <v>4.0636467889908254E-2</v>
      </c>
      <c r="G47">
        <f t="shared" si="25"/>
        <v>3.8497706422018343E-2</v>
      </c>
      <c r="H47">
        <f t="shared" si="25"/>
        <v>3.493310397553516E-2</v>
      </c>
      <c r="I47">
        <f t="shared" si="25"/>
        <v>3.3150802752293582E-2</v>
      </c>
      <c r="J47">
        <f t="shared" si="25"/>
        <v>3.0477350917431194E-2</v>
      </c>
      <c r="K47">
        <f t="shared" si="25"/>
        <v>2.6158697953422731E-2</v>
      </c>
      <c r="L47">
        <f t="shared" si="25"/>
        <v>2.4748525557011805E-2</v>
      </c>
      <c r="M47">
        <f t="shared" si="25"/>
        <v>4.3642561197311122E-2</v>
      </c>
      <c r="O47" s="4"/>
      <c r="P47" s="4"/>
    </row>
    <row r="48" spans="2:16" x14ac:dyDescent="0.25">
      <c r="B48" s="4">
        <v>752</v>
      </c>
      <c r="C48" s="4">
        <v>1440</v>
      </c>
      <c r="E48">
        <f t="shared" ref="E48:M48" si="26">(E24*$L$27/2)-(E24/2)</f>
        <v>3.0027777777777778E-2</v>
      </c>
      <c r="F48">
        <f t="shared" si="26"/>
        <v>2.480555555555556E-2</v>
      </c>
      <c r="G48">
        <f t="shared" si="26"/>
        <v>2.3500000000000007E-2</v>
      </c>
      <c r="H48">
        <f t="shared" si="26"/>
        <v>2.1324074074074079E-2</v>
      </c>
      <c r="I48">
        <f t="shared" si="26"/>
        <v>2.0236111111111107E-2</v>
      </c>
      <c r="J48">
        <f t="shared" si="26"/>
        <v>1.8604166666666665E-2</v>
      </c>
      <c r="K48">
        <f t="shared" si="26"/>
        <v>1.5967948717948717E-2</v>
      </c>
      <c r="L48">
        <f t="shared" si="26"/>
        <v>1.5107142857142857E-2</v>
      </c>
      <c r="M48">
        <f t="shared" si="26"/>
        <v>2.6640552995391711E-2</v>
      </c>
    </row>
    <row r="51" spans="2:16" x14ac:dyDescent="0.25">
      <c r="E51" s="3" t="s">
        <v>4</v>
      </c>
    </row>
    <row r="52" spans="2:16" x14ac:dyDescent="0.25">
      <c r="E52" s="4">
        <v>1</v>
      </c>
      <c r="F52" s="4">
        <v>5</v>
      </c>
      <c r="G52" s="4">
        <v>4</v>
      </c>
      <c r="H52" s="4">
        <v>3</v>
      </c>
      <c r="I52" s="4">
        <v>16</v>
      </c>
      <c r="J52" s="4">
        <v>16</v>
      </c>
      <c r="K52" s="4">
        <v>19.5</v>
      </c>
      <c r="L52" s="4">
        <v>21</v>
      </c>
      <c r="M52" s="4">
        <v>8</v>
      </c>
      <c r="O52" s="4"/>
      <c r="P52" s="4"/>
    </row>
    <row r="53" spans="2:16" x14ac:dyDescent="0.25">
      <c r="E53" s="4">
        <v>1</v>
      </c>
      <c r="F53" s="4">
        <v>4</v>
      </c>
      <c r="G53" s="4">
        <v>3</v>
      </c>
      <c r="H53" s="4">
        <v>2</v>
      </c>
      <c r="I53" s="4">
        <v>10</v>
      </c>
      <c r="J53" s="4">
        <v>9</v>
      </c>
      <c r="K53" s="4">
        <v>9</v>
      </c>
      <c r="L53" s="4">
        <v>9</v>
      </c>
      <c r="M53" s="4">
        <v>7</v>
      </c>
    </row>
    <row r="54" spans="2:16" x14ac:dyDescent="0.25">
      <c r="B54" s="2"/>
      <c r="C54" s="2"/>
      <c r="D54" s="4" t="s">
        <v>0</v>
      </c>
      <c r="E54" s="4">
        <v>720</v>
      </c>
      <c r="F54" s="4">
        <v>900</v>
      </c>
      <c r="G54" s="4">
        <v>960</v>
      </c>
      <c r="H54" s="4">
        <v>1080</v>
      </c>
      <c r="I54" s="4">
        <v>1152</v>
      </c>
      <c r="J54" s="4">
        <v>1280</v>
      </c>
      <c r="K54" s="4">
        <v>1560</v>
      </c>
      <c r="L54" s="4">
        <v>1680</v>
      </c>
      <c r="M54">
        <v>1240</v>
      </c>
    </row>
    <row r="55" spans="2:16" x14ac:dyDescent="0.25">
      <c r="B55" s="2" t="s">
        <v>0</v>
      </c>
      <c r="C55" s="2" t="s">
        <v>1</v>
      </c>
      <c r="D55" s="4" t="s">
        <v>1</v>
      </c>
      <c r="E55" s="4">
        <v>720</v>
      </c>
      <c r="F55" s="4">
        <v>720</v>
      </c>
      <c r="G55" s="4">
        <v>720</v>
      </c>
      <c r="H55" s="4">
        <v>720</v>
      </c>
      <c r="I55" s="4">
        <v>720</v>
      </c>
      <c r="J55" s="4">
        <v>720</v>
      </c>
      <c r="K55" s="4">
        <v>720</v>
      </c>
      <c r="L55" s="4">
        <v>720</v>
      </c>
      <c r="M55" s="4">
        <v>1080</v>
      </c>
    </row>
    <row r="56" spans="2:16" x14ac:dyDescent="0.25">
      <c r="B56" s="4">
        <v>1</v>
      </c>
      <c r="C56" s="4">
        <v>1</v>
      </c>
      <c r="E56">
        <f t="shared" ref="E56:M65" si="27">(E$54/((E8*E$54)+$H$27))</f>
        <v>4.1002277904328022</v>
      </c>
      <c r="F56">
        <f>(F$54/((F8*F$54)+$H$27))</f>
        <v>4.972375690607735</v>
      </c>
      <c r="G56">
        <f t="shared" si="27"/>
        <v>5.2516411378555805</v>
      </c>
      <c r="H56">
        <f t="shared" si="27"/>
        <v>5.7939914163090123</v>
      </c>
      <c r="I56">
        <f t="shared" si="27"/>
        <v>6.1094611794654217</v>
      </c>
      <c r="J56">
        <f t="shared" si="27"/>
        <v>6.6528066528066514</v>
      </c>
      <c r="K56">
        <f t="shared" si="27"/>
        <v>7.7689243027888439</v>
      </c>
      <c r="L56">
        <f t="shared" si="27"/>
        <v>8.2191780821917799</v>
      </c>
      <c r="M56">
        <f t="shared" si="27"/>
        <v>4.7143167499456871</v>
      </c>
    </row>
    <row r="57" spans="2:16" x14ac:dyDescent="0.25">
      <c r="B57" s="4">
        <v>1</v>
      </c>
      <c r="C57" s="4">
        <v>2</v>
      </c>
      <c r="E57">
        <f t="shared" si="27"/>
        <v>7.7586206896551726</v>
      </c>
      <c r="F57">
        <f t="shared" si="27"/>
        <v>9.4240837696335085</v>
      </c>
      <c r="G57">
        <f t="shared" si="27"/>
        <v>9.9585062240663902</v>
      </c>
      <c r="H57">
        <f t="shared" si="27"/>
        <v>10.997963340122199</v>
      </c>
      <c r="I57">
        <f t="shared" si="27"/>
        <v>11.603545527800161</v>
      </c>
      <c r="J57">
        <f t="shared" si="27"/>
        <v>12.648221343873516</v>
      </c>
      <c r="K57">
        <f t="shared" si="27"/>
        <v>14.800759013282732</v>
      </c>
      <c r="L57">
        <f t="shared" si="27"/>
        <v>15.671641791044776</v>
      </c>
      <c r="M57">
        <f t="shared" ref="M57" si="28">(M$54/((M9*M$54)+$H$27))</f>
        <v>9.0832984512348247</v>
      </c>
      <c r="O57" s="4"/>
      <c r="P57" s="4"/>
    </row>
    <row r="58" spans="2:16" x14ac:dyDescent="0.25">
      <c r="B58" s="4">
        <v>2</v>
      </c>
      <c r="C58" s="4">
        <v>3</v>
      </c>
      <c r="E58">
        <f t="shared" si="27"/>
        <v>5.9800664451827243</v>
      </c>
      <c r="F58">
        <f t="shared" si="27"/>
        <v>7.2580645161290311</v>
      </c>
      <c r="G58">
        <f t="shared" si="27"/>
        <v>7.6677316293929723</v>
      </c>
      <c r="H58">
        <f t="shared" si="27"/>
        <v>8.4639498432601883</v>
      </c>
      <c r="I58">
        <f t="shared" si="27"/>
        <v>8.9274643521388715</v>
      </c>
      <c r="J58">
        <f t="shared" si="27"/>
        <v>9.7264437689969601</v>
      </c>
      <c r="K58">
        <f t="shared" si="27"/>
        <v>11.370262390670552</v>
      </c>
      <c r="L58">
        <f t="shared" si="27"/>
        <v>12.034383954154729</v>
      </c>
      <c r="M58">
        <f t="shared" ref="M58" si="29">(M$54/((M10*M$54)+$H$27))</f>
        <v>6.939558682443236</v>
      </c>
    </row>
    <row r="59" spans="2:16" x14ac:dyDescent="0.25">
      <c r="B59" s="4">
        <v>3</v>
      </c>
      <c r="C59" s="4">
        <v>4</v>
      </c>
      <c r="E59">
        <f t="shared" si="27"/>
        <v>5.3651266766020873</v>
      </c>
      <c r="F59">
        <f t="shared" si="27"/>
        <v>6.5099457504520792</v>
      </c>
      <c r="G59">
        <f t="shared" si="27"/>
        <v>6.8767908309455592</v>
      </c>
      <c r="H59">
        <f t="shared" si="27"/>
        <v>7.5895994378074487</v>
      </c>
      <c r="I59">
        <f t="shared" si="27"/>
        <v>8.0044469149527515</v>
      </c>
      <c r="J59">
        <f t="shared" si="27"/>
        <v>8.7193460490463206</v>
      </c>
      <c r="K59">
        <f t="shared" si="27"/>
        <v>10.189418680600912</v>
      </c>
      <c r="L59">
        <f t="shared" si="27"/>
        <v>10.783055198973042</v>
      </c>
      <c r="M59">
        <f t="shared" ref="M59" si="30">(M$54/((M11*M$54)+$H$27))</f>
        <v>6.2070938215102984</v>
      </c>
    </row>
    <row r="60" spans="2:16" x14ac:dyDescent="0.25">
      <c r="B60" s="4">
        <v>3</v>
      </c>
      <c r="C60" s="4">
        <v>5</v>
      </c>
      <c r="E60">
        <f t="shared" si="27"/>
        <v>6.5837600585223122</v>
      </c>
      <c r="F60">
        <f t="shared" si="27"/>
        <v>7.9928952042628776</v>
      </c>
      <c r="G60">
        <f t="shared" si="27"/>
        <v>8.4447572132301207</v>
      </c>
      <c r="H60">
        <f t="shared" si="27"/>
        <v>9.3232044198895032</v>
      </c>
      <c r="I60">
        <f t="shared" si="27"/>
        <v>9.8347220325092195</v>
      </c>
      <c r="J60">
        <f t="shared" si="27"/>
        <v>10.716677829872738</v>
      </c>
      <c r="K60">
        <f t="shared" si="27"/>
        <v>12.532133676092544</v>
      </c>
      <c r="L60">
        <f t="shared" si="27"/>
        <v>13.265950726468729</v>
      </c>
      <c r="M60">
        <f t="shared" ref="M60" si="31">(M$54/((M12*M$54)+$H$27))</f>
        <v>7.6629705487675679</v>
      </c>
    </row>
    <row r="61" spans="2:16" x14ac:dyDescent="0.25">
      <c r="B61" s="4">
        <v>4</v>
      </c>
      <c r="C61" s="4">
        <v>3</v>
      </c>
      <c r="E61">
        <f t="shared" si="27"/>
        <v>3.1195840554592724</v>
      </c>
      <c r="F61">
        <f t="shared" si="27"/>
        <v>3.7815126050420163</v>
      </c>
      <c r="G61">
        <f t="shared" si="27"/>
        <v>3.9933444259567392</v>
      </c>
      <c r="H61">
        <f t="shared" si="27"/>
        <v>4.4045676998368677</v>
      </c>
      <c r="I61">
        <f t="shared" si="27"/>
        <v>4.6436633344082558</v>
      </c>
      <c r="J61">
        <f t="shared" si="27"/>
        <v>5.0552922590837284</v>
      </c>
      <c r="K61">
        <f t="shared" si="27"/>
        <v>5.9001512859304075</v>
      </c>
      <c r="L61">
        <f t="shared" si="27"/>
        <v>6.2407132243684993</v>
      </c>
      <c r="M61">
        <f t="shared" ref="M61" si="32">(M$54/((M13*M$54)+$H$27))</f>
        <v>3.5696660634972859</v>
      </c>
    </row>
    <row r="62" spans="2:16" x14ac:dyDescent="0.25">
      <c r="B62" s="4">
        <v>5</v>
      </c>
      <c r="C62" s="4">
        <v>7</v>
      </c>
      <c r="E62">
        <f t="shared" si="27"/>
        <v>5.6124721603563481</v>
      </c>
      <c r="F62">
        <f t="shared" si="27"/>
        <v>6.8108108108108114</v>
      </c>
      <c r="G62">
        <f t="shared" si="27"/>
        <v>7.1948608137044978</v>
      </c>
      <c r="H62">
        <f t="shared" si="27"/>
        <v>7.9411764705882355</v>
      </c>
      <c r="I62">
        <f t="shared" si="27"/>
        <v>8.3755712505193181</v>
      </c>
      <c r="J62">
        <f t="shared" si="27"/>
        <v>9.1242362525458258</v>
      </c>
      <c r="K62">
        <f t="shared" si="27"/>
        <v>10.6640625</v>
      </c>
      <c r="L62">
        <f t="shared" si="27"/>
        <v>11.28598848368522</v>
      </c>
      <c r="M62">
        <f t="shared" ref="M62" si="33">(M$54/((M14*M$54)+$H$27))</f>
        <v>6.5011769741065697</v>
      </c>
      <c r="O62" s="4"/>
      <c r="P62" s="4"/>
    </row>
    <row r="63" spans="2:16" x14ac:dyDescent="0.25">
      <c r="B63" s="4">
        <v>99</v>
      </c>
      <c r="C63" s="4">
        <v>168</v>
      </c>
      <c r="E63">
        <f t="shared" si="27"/>
        <v>6.6923383348824874</v>
      </c>
      <c r="F63">
        <f t="shared" si="27"/>
        <v>8.1251007576978882</v>
      </c>
      <c r="G63">
        <f t="shared" si="27"/>
        <v>8.5845682166581518</v>
      </c>
      <c r="H63">
        <f t="shared" si="27"/>
        <v>9.4778411584028071</v>
      </c>
      <c r="I63">
        <f t="shared" si="27"/>
        <v>9.9980162666137673</v>
      </c>
      <c r="J63">
        <f t="shared" si="27"/>
        <v>10.894941634241244</v>
      </c>
      <c r="K63">
        <f t="shared" si="27"/>
        <v>12.741380316200921</v>
      </c>
      <c r="L63">
        <f t="shared" si="27"/>
        <v>13.487785296478954</v>
      </c>
      <c r="M63">
        <f t="shared" ref="M63" si="34">(M$54/((M15*M$54)+$H$27))</f>
        <v>7.7935404427798147</v>
      </c>
    </row>
    <row r="64" spans="2:16" x14ac:dyDescent="0.25">
      <c r="B64" s="4">
        <v>105</v>
      </c>
      <c r="C64" s="4">
        <v>170</v>
      </c>
      <c r="E64">
        <f t="shared" si="27"/>
        <v>6.412405699916178</v>
      </c>
      <c r="F64">
        <f t="shared" si="27"/>
        <v>7.78427880946324</v>
      </c>
      <c r="G64">
        <f t="shared" si="27"/>
        <v>8.224148357186051</v>
      </c>
      <c r="H64">
        <f t="shared" si="27"/>
        <v>9.0792206507763815</v>
      </c>
      <c r="I64">
        <f t="shared" si="27"/>
        <v>9.5770900981964715</v>
      </c>
      <c r="J64">
        <f t="shared" si="27"/>
        <v>10.435449836946097</v>
      </c>
      <c r="K64">
        <f t="shared" si="27"/>
        <v>12.202079690807031</v>
      </c>
      <c r="L64">
        <f t="shared" si="27"/>
        <v>12.916063675832127</v>
      </c>
      <c r="M64">
        <f t="shared" ref="M64" si="35">(M$54/((M16*M$54)+$H$27))</f>
        <v>7.4571954153105988</v>
      </c>
    </row>
    <row r="65" spans="2:16" x14ac:dyDescent="0.25">
      <c r="B65" s="4">
        <v>112</v>
      </c>
      <c r="C65" s="4">
        <v>67</v>
      </c>
      <c r="E65">
        <f t="shared" si="27"/>
        <v>2.5102512332701954</v>
      </c>
      <c r="F65">
        <f t="shared" si="27"/>
        <v>3.0420744627181917</v>
      </c>
      <c r="G65">
        <f t="shared" si="27"/>
        <v>3.2122095926806371</v>
      </c>
      <c r="H65">
        <f t="shared" si="27"/>
        <v>3.5424050756848846</v>
      </c>
      <c r="I65">
        <f t="shared" si="27"/>
        <v>3.7343386528048184</v>
      </c>
      <c r="J65">
        <f t="shared" si="27"/>
        <v>4.0646861432877701</v>
      </c>
      <c r="K65">
        <f t="shared" si="27"/>
        <v>4.7423728198333901</v>
      </c>
      <c r="L65">
        <f t="shared" si="27"/>
        <v>5.0154169711444201</v>
      </c>
      <c r="M65">
        <f t="shared" ref="M65" si="36">(M$54/((M17*M$54)+$H$27))</f>
        <v>2.8639190325827664</v>
      </c>
    </row>
    <row r="66" spans="2:16" x14ac:dyDescent="0.25">
      <c r="B66" s="4">
        <v>135</v>
      </c>
      <c r="C66" s="4">
        <v>172</v>
      </c>
      <c r="E66">
        <f t="shared" ref="E66:M72" si="37">(E$54/((E18*E$54)+$H$27))</f>
        <v>5.1437115799966771</v>
      </c>
      <c r="F66">
        <f t="shared" si="37"/>
        <v>6.2406772828058852</v>
      </c>
      <c r="G66">
        <f t="shared" si="37"/>
        <v>6.5921430852762706</v>
      </c>
      <c r="H66">
        <f t="shared" si="37"/>
        <v>7.2750058745202466</v>
      </c>
      <c r="I66">
        <f t="shared" si="37"/>
        <v>7.672387088780126</v>
      </c>
      <c r="J66">
        <f t="shared" si="37"/>
        <v>8.3571211661099305</v>
      </c>
      <c r="K66">
        <f t="shared" si="37"/>
        <v>9.7649028313559931</v>
      </c>
      <c r="L66">
        <f t="shared" si="37"/>
        <v>10.333285652982406</v>
      </c>
      <c r="M66">
        <f t="shared" si="37"/>
        <v>5.944447983691151</v>
      </c>
    </row>
    <row r="67" spans="2:16" x14ac:dyDescent="0.25">
      <c r="B67" s="4">
        <v>143</v>
      </c>
      <c r="C67" s="4">
        <v>207</v>
      </c>
      <c r="E67">
        <f t="shared" si="37"/>
        <v>5.7877813504823159</v>
      </c>
      <c r="F67">
        <f t="shared" si="37"/>
        <v>7.0240922972514426</v>
      </c>
      <c r="G67">
        <f t="shared" si="37"/>
        <v>7.4203521978760598</v>
      </c>
      <c r="H67">
        <f t="shared" si="37"/>
        <v>8.1904510683197049</v>
      </c>
      <c r="I67">
        <f t="shared" si="37"/>
        <v>8.638722971386839</v>
      </c>
      <c r="J67">
        <f t="shared" si="37"/>
        <v>9.4113635394910702</v>
      </c>
      <c r="K67">
        <f t="shared" si="37"/>
        <v>11.00073583517292</v>
      </c>
      <c r="L67">
        <f t="shared" si="37"/>
        <v>11.642762444256959</v>
      </c>
      <c r="M67">
        <f t="shared" si="37"/>
        <v>6.710046920584559</v>
      </c>
      <c r="O67" s="4"/>
      <c r="P67" s="4"/>
    </row>
    <row r="68" spans="2:16" x14ac:dyDescent="0.25">
      <c r="B68" s="4">
        <v>145</v>
      </c>
      <c r="C68" s="4">
        <v>205</v>
      </c>
      <c r="E68">
        <f t="shared" si="37"/>
        <v>5.6634180032230841</v>
      </c>
      <c r="F68">
        <f t="shared" si="37"/>
        <v>6.8727882287204327</v>
      </c>
      <c r="G68">
        <f t="shared" si="37"/>
        <v>7.2603851545783238</v>
      </c>
      <c r="H68">
        <f t="shared" si="37"/>
        <v>8.0136093817865941</v>
      </c>
      <c r="I68">
        <f t="shared" si="37"/>
        <v>8.4520349877600101</v>
      </c>
      <c r="J68">
        <f t="shared" si="37"/>
        <v>9.2076636956979439</v>
      </c>
      <c r="K68">
        <f t="shared" si="37"/>
        <v>10.761879122358325</v>
      </c>
      <c r="L68">
        <f t="shared" si="37"/>
        <v>11.389642172101329</v>
      </c>
      <c r="M68">
        <f t="shared" si="37"/>
        <v>6.5618385243423045</v>
      </c>
    </row>
    <row r="69" spans="2:16" x14ac:dyDescent="0.25">
      <c r="B69" s="4">
        <v>243</v>
      </c>
      <c r="C69" s="4">
        <v>340</v>
      </c>
      <c r="E69">
        <f t="shared" si="37"/>
        <v>5.6094297079796895</v>
      </c>
      <c r="F69">
        <f t="shared" si="37"/>
        <v>6.8071096478544266</v>
      </c>
      <c r="G69">
        <f t="shared" si="37"/>
        <v>7.1909478656279742</v>
      </c>
      <c r="H69">
        <f t="shared" si="37"/>
        <v>7.9368510240958638</v>
      </c>
      <c r="I69">
        <f t="shared" si="37"/>
        <v>8.3710051361314175</v>
      </c>
      <c r="J69">
        <f t="shared" si="37"/>
        <v>9.1192543668488266</v>
      </c>
      <c r="K69">
        <f t="shared" si="37"/>
        <v>10.658221539895989</v>
      </c>
      <c r="L69">
        <f t="shared" si="37"/>
        <v>11.27979904895812</v>
      </c>
      <c r="M69">
        <f t="shared" si="37"/>
        <v>6.4975552706111124</v>
      </c>
    </row>
    <row r="70" spans="2:16" x14ac:dyDescent="0.25">
      <c r="B70" s="4">
        <v>257</v>
      </c>
      <c r="C70" s="4">
        <v>229</v>
      </c>
      <c r="E70">
        <f t="shared" si="37"/>
        <v>3.6763197559822696</v>
      </c>
      <c r="F70">
        <f t="shared" si="37"/>
        <v>4.4574691264571662</v>
      </c>
      <c r="G70">
        <f t="shared" si="37"/>
        <v>4.7075349681795995</v>
      </c>
      <c r="H70">
        <f t="shared" si="37"/>
        <v>5.1930926744049319</v>
      </c>
      <c r="I70">
        <f t="shared" si="37"/>
        <v>5.475476090454281</v>
      </c>
      <c r="J70">
        <f t="shared" si="37"/>
        <v>5.9617465444161502</v>
      </c>
      <c r="K70">
        <f t="shared" si="37"/>
        <v>6.9602693392770858</v>
      </c>
      <c r="L70">
        <f t="shared" si="37"/>
        <v>7.362949466802422</v>
      </c>
      <c r="M70">
        <f t="shared" si="37"/>
        <v>4.2181668167708057</v>
      </c>
    </row>
    <row r="71" spans="2:16" x14ac:dyDescent="0.25">
      <c r="B71" s="4">
        <v>373</v>
      </c>
      <c r="C71" s="4">
        <v>436</v>
      </c>
      <c r="E71">
        <f t="shared" si="37"/>
        <v>4.7470995995693261</v>
      </c>
      <c r="F71">
        <f t="shared" si="37"/>
        <v>5.7584784937557787</v>
      </c>
      <c r="G71">
        <f t="shared" si="37"/>
        <v>6.0824478597502853</v>
      </c>
      <c r="H71">
        <f t="shared" si="37"/>
        <v>6.71178439276368</v>
      </c>
      <c r="I71">
        <f t="shared" si="37"/>
        <v>7.0779539951027903</v>
      </c>
      <c r="J71">
        <f t="shared" si="37"/>
        <v>7.7087983733728214</v>
      </c>
      <c r="K71">
        <f t="shared" si="37"/>
        <v>9.0053542773314401</v>
      </c>
      <c r="L71">
        <f t="shared" si="37"/>
        <v>9.5286661324397173</v>
      </c>
      <c r="M71">
        <f t="shared" si="37"/>
        <v>5.4754089252892451</v>
      </c>
    </row>
    <row r="72" spans="2:16" x14ac:dyDescent="0.25">
      <c r="B72" s="4">
        <v>752</v>
      </c>
      <c r="C72" s="4">
        <v>1440</v>
      </c>
      <c r="E72">
        <f t="shared" si="37"/>
        <v>7.4626865671641784</v>
      </c>
      <c r="F72">
        <f t="shared" si="37"/>
        <v>9.0634441087613293</v>
      </c>
      <c r="G72">
        <f t="shared" si="37"/>
        <v>9.5770151636073422</v>
      </c>
      <c r="H72">
        <f t="shared" si="37"/>
        <v>10.575793184488834</v>
      </c>
      <c r="I72">
        <f t="shared" si="37"/>
        <v>11.157601115760112</v>
      </c>
      <c r="J72">
        <f t="shared" si="37"/>
        <v>12.161135039270331</v>
      </c>
      <c r="K72">
        <f t="shared" si="37"/>
        <v>14.228383801532287</v>
      </c>
      <c r="L72">
        <f t="shared" si="37"/>
        <v>15.064562410329984</v>
      </c>
      <c r="M72">
        <f t="shared" si="37"/>
        <v>8.7239688027659401</v>
      </c>
      <c r="O72" s="4"/>
      <c r="P72" s="4"/>
    </row>
    <row r="75" spans="2:16" x14ac:dyDescent="0.25">
      <c r="E75" s="3" t="s">
        <v>21</v>
      </c>
    </row>
    <row r="76" spans="2:16" x14ac:dyDescent="0.25">
      <c r="E76" s="4">
        <v>1</v>
      </c>
      <c r="F76" s="4">
        <v>5</v>
      </c>
      <c r="G76" s="4">
        <v>4</v>
      </c>
      <c r="H76" s="4">
        <v>3</v>
      </c>
      <c r="I76" s="4">
        <v>16</v>
      </c>
      <c r="J76" s="4">
        <v>16</v>
      </c>
      <c r="K76" s="4">
        <v>19.5</v>
      </c>
      <c r="L76" s="4">
        <v>21</v>
      </c>
      <c r="M76" s="4">
        <v>8</v>
      </c>
    </row>
    <row r="77" spans="2:16" x14ac:dyDescent="0.25">
      <c r="E77" s="4">
        <v>1</v>
      </c>
      <c r="F77" s="4">
        <v>4</v>
      </c>
      <c r="G77" s="4">
        <v>3</v>
      </c>
      <c r="H77" s="4">
        <v>2</v>
      </c>
      <c r="I77" s="4">
        <v>10</v>
      </c>
      <c r="J77" s="4">
        <v>9</v>
      </c>
      <c r="K77" s="4">
        <v>9</v>
      </c>
      <c r="L77" s="4">
        <v>9</v>
      </c>
      <c r="M77" s="4">
        <v>7</v>
      </c>
      <c r="O77" s="4"/>
      <c r="P77" s="4"/>
    </row>
    <row r="78" spans="2:16" x14ac:dyDescent="0.25">
      <c r="B78" s="2"/>
      <c r="C78" s="2"/>
      <c r="D78" s="4" t="s">
        <v>0</v>
      </c>
      <c r="E78" s="4">
        <v>720</v>
      </c>
      <c r="F78" s="4">
        <v>900</v>
      </c>
      <c r="G78" s="4">
        <v>960</v>
      </c>
      <c r="H78" s="4">
        <v>1080</v>
      </c>
      <c r="I78" s="4">
        <v>1152</v>
      </c>
      <c r="J78" s="4">
        <v>1280</v>
      </c>
      <c r="K78" s="4">
        <v>1560</v>
      </c>
      <c r="L78" s="4">
        <v>1680</v>
      </c>
      <c r="M78">
        <v>1240</v>
      </c>
    </row>
    <row r="79" spans="2:16" x14ac:dyDescent="0.25">
      <c r="B79" s="2" t="s">
        <v>0</v>
      </c>
      <c r="C79" s="2" t="s">
        <v>1</v>
      </c>
      <c r="D79" s="4" t="s">
        <v>1</v>
      </c>
      <c r="E79" s="4">
        <v>720</v>
      </c>
      <c r="F79" s="4">
        <v>720</v>
      </c>
      <c r="G79" s="4">
        <v>720</v>
      </c>
      <c r="H79" s="4">
        <v>720</v>
      </c>
      <c r="I79" s="4">
        <v>720</v>
      </c>
      <c r="J79" s="4">
        <v>720</v>
      </c>
      <c r="K79" s="4">
        <v>720</v>
      </c>
      <c r="L79" s="4">
        <v>720</v>
      </c>
      <c r="M79" s="4">
        <v>1080</v>
      </c>
    </row>
    <row r="80" spans="2:16" x14ac:dyDescent="0.25">
      <c r="B80" s="4">
        <v>1</v>
      </c>
      <c r="C80" s="4">
        <v>1</v>
      </c>
      <c r="E80">
        <f>(E8*$L$27/2)-0.5</f>
        <v>-0.32750000000000001</v>
      </c>
      <c r="F80">
        <f t="shared" ref="F80:M80" si="38">(F8*$L$27/2)-0.5</f>
        <v>-0.35749999999999998</v>
      </c>
      <c r="G80">
        <f t="shared" si="38"/>
        <v>-0.36499999999999999</v>
      </c>
      <c r="H80">
        <f t="shared" si="38"/>
        <v>-0.3775</v>
      </c>
      <c r="I80">
        <f t="shared" si="38"/>
        <v>-0.38375000000000004</v>
      </c>
      <c r="J80">
        <f t="shared" si="38"/>
        <v>-0.393125</v>
      </c>
      <c r="K80">
        <f t="shared" si="38"/>
        <v>-0.40826923076923077</v>
      </c>
      <c r="L80">
        <f t="shared" si="38"/>
        <v>-0.4132142857142857</v>
      </c>
      <c r="M80">
        <f t="shared" si="38"/>
        <v>-0.3469585253456221</v>
      </c>
    </row>
    <row r="81" spans="2:16" x14ac:dyDescent="0.25">
      <c r="B81" s="4">
        <v>1</v>
      </c>
      <c r="C81" s="4">
        <v>2</v>
      </c>
      <c r="E81">
        <f t="shared" ref="E81:M81" si="39">(E9*$L$27/2)-0.5</f>
        <v>-0.41375000000000001</v>
      </c>
      <c r="F81">
        <f t="shared" si="39"/>
        <v>-0.42874999999999996</v>
      </c>
      <c r="G81">
        <f t="shared" si="39"/>
        <v>-0.4325</v>
      </c>
      <c r="H81">
        <f t="shared" si="39"/>
        <v>-0.43874999999999997</v>
      </c>
      <c r="I81">
        <f t="shared" si="39"/>
        <v>-0.44187500000000002</v>
      </c>
      <c r="J81">
        <f t="shared" si="39"/>
        <v>-0.44656249999999997</v>
      </c>
      <c r="K81">
        <f t="shared" si="39"/>
        <v>-0.45413461538461541</v>
      </c>
      <c r="L81">
        <f t="shared" si="39"/>
        <v>-0.45660714285714288</v>
      </c>
      <c r="M81">
        <f t="shared" si="39"/>
        <v>-0.42347926267281105</v>
      </c>
    </row>
    <row r="82" spans="2:16" x14ac:dyDescent="0.25">
      <c r="B82" s="4">
        <v>2</v>
      </c>
      <c r="C82" s="4">
        <v>3</v>
      </c>
      <c r="E82">
        <f t="shared" ref="E82:M82" si="40">(E10*$L$27/2)-0.5</f>
        <v>-0.38500000000000001</v>
      </c>
      <c r="F82">
        <f t="shared" si="40"/>
        <v>-0.40500000000000003</v>
      </c>
      <c r="G82">
        <f t="shared" si="40"/>
        <v>-0.41000000000000003</v>
      </c>
      <c r="H82">
        <f t="shared" si="40"/>
        <v>-0.41833333333333333</v>
      </c>
      <c r="I82">
        <f t="shared" si="40"/>
        <v>-0.42249999999999999</v>
      </c>
      <c r="J82">
        <f t="shared" si="40"/>
        <v>-0.42874999999999996</v>
      </c>
      <c r="K82">
        <f t="shared" si="40"/>
        <v>-0.43884615384615383</v>
      </c>
      <c r="L82">
        <f t="shared" si="40"/>
        <v>-0.44214285714285717</v>
      </c>
      <c r="M82">
        <f t="shared" si="40"/>
        <v>-0.39797235023041477</v>
      </c>
      <c r="O82" s="4"/>
      <c r="P82" s="4"/>
    </row>
    <row r="83" spans="2:16" x14ac:dyDescent="0.25">
      <c r="B83" s="4">
        <v>3</v>
      </c>
      <c r="C83" s="4">
        <v>4</v>
      </c>
      <c r="E83">
        <f t="shared" ref="E83:M83" si="41">(E11*$L$27/2)-0.5</f>
        <v>-0.37062499999999998</v>
      </c>
      <c r="F83">
        <f t="shared" si="41"/>
        <v>-0.393125</v>
      </c>
      <c r="G83">
        <f t="shared" si="41"/>
        <v>-0.39875000000000005</v>
      </c>
      <c r="H83">
        <f t="shared" si="41"/>
        <v>-0.40812499999999996</v>
      </c>
      <c r="I83">
        <f t="shared" si="41"/>
        <v>-0.41281249999999997</v>
      </c>
      <c r="J83">
        <f t="shared" si="41"/>
        <v>-0.41984374999999996</v>
      </c>
      <c r="K83">
        <f t="shared" si="41"/>
        <v>-0.43120192307692307</v>
      </c>
      <c r="L83">
        <f t="shared" si="41"/>
        <v>-0.43491071428571426</v>
      </c>
      <c r="M83">
        <f t="shared" si="41"/>
        <v>-0.38521889400921661</v>
      </c>
    </row>
    <row r="84" spans="2:16" x14ac:dyDescent="0.25">
      <c r="B84" s="4">
        <v>3</v>
      </c>
      <c r="C84" s="4">
        <v>5</v>
      </c>
      <c r="E84">
        <f t="shared" ref="E84:M84" si="42">(E12*$L$27/2)-0.5</f>
        <v>-0.39650000000000002</v>
      </c>
      <c r="F84">
        <f t="shared" si="42"/>
        <v>-0.41449999999999998</v>
      </c>
      <c r="G84">
        <f t="shared" si="42"/>
        <v>-0.41899999999999998</v>
      </c>
      <c r="H84">
        <f t="shared" si="42"/>
        <v>-0.42649999999999999</v>
      </c>
      <c r="I84">
        <f t="shared" si="42"/>
        <v>-0.43025000000000002</v>
      </c>
      <c r="J84">
        <f t="shared" si="42"/>
        <v>-0.43587500000000001</v>
      </c>
      <c r="K84">
        <f t="shared" si="42"/>
        <v>-0.44496153846153846</v>
      </c>
      <c r="L84">
        <f t="shared" si="42"/>
        <v>-0.44792857142857145</v>
      </c>
      <c r="M84">
        <f t="shared" si="42"/>
        <v>-0.40817511520737326</v>
      </c>
    </row>
    <row r="85" spans="2:16" x14ac:dyDescent="0.25">
      <c r="B85" s="4">
        <v>4</v>
      </c>
      <c r="C85" s="4">
        <v>3</v>
      </c>
      <c r="E85">
        <f t="shared" ref="E85:M85" si="43">(E13*$L$27/2)-0.5</f>
        <v>-0.27</v>
      </c>
      <c r="F85">
        <f t="shared" si="43"/>
        <v>-0.31</v>
      </c>
      <c r="G85">
        <f t="shared" si="43"/>
        <v>-0.32000000000000006</v>
      </c>
      <c r="H85">
        <f t="shared" si="43"/>
        <v>-0.33666666666666667</v>
      </c>
      <c r="I85">
        <f t="shared" si="43"/>
        <v>-0.34499999999999997</v>
      </c>
      <c r="J85">
        <f t="shared" si="43"/>
        <v>-0.35749999999999998</v>
      </c>
      <c r="K85">
        <f t="shared" si="43"/>
        <v>-0.37769230769230766</v>
      </c>
      <c r="L85">
        <f t="shared" si="43"/>
        <v>-0.38428571428571429</v>
      </c>
      <c r="M85">
        <f t="shared" si="43"/>
        <v>-0.29594470046082949</v>
      </c>
    </row>
    <row r="86" spans="2:16" x14ac:dyDescent="0.25">
      <c r="B86" s="4">
        <v>5</v>
      </c>
      <c r="C86" s="4">
        <v>7</v>
      </c>
      <c r="E86">
        <f t="shared" ref="E86:M86" si="44">(E14*$L$27/2)-0.5</f>
        <v>-0.37678571428571428</v>
      </c>
      <c r="F86">
        <f t="shared" si="44"/>
        <v>-0.39821428571428574</v>
      </c>
      <c r="G86">
        <f t="shared" si="44"/>
        <v>-0.40357142857142858</v>
      </c>
      <c r="H86">
        <f t="shared" si="44"/>
        <v>-0.41249999999999998</v>
      </c>
      <c r="I86">
        <f t="shared" si="44"/>
        <v>-0.41696428571428573</v>
      </c>
      <c r="J86">
        <f t="shared" si="44"/>
        <v>-0.42366071428571428</v>
      </c>
      <c r="K86">
        <f t="shared" si="44"/>
        <v>-0.43447802197802199</v>
      </c>
      <c r="L86">
        <f t="shared" si="44"/>
        <v>-0.43801020408163266</v>
      </c>
      <c r="M86">
        <f t="shared" si="44"/>
        <v>-0.39068466096115867</v>
      </c>
    </row>
    <row r="87" spans="2:16" x14ac:dyDescent="0.25">
      <c r="B87" s="4">
        <v>99</v>
      </c>
      <c r="C87" s="4">
        <v>168</v>
      </c>
      <c r="E87">
        <f t="shared" ref="E87:M87" si="45">(E15*$L$27/2)-0.5</f>
        <v>-0.39834821428571432</v>
      </c>
      <c r="F87">
        <f t="shared" si="45"/>
        <v>-0.41602678571428575</v>
      </c>
      <c r="G87">
        <f t="shared" si="45"/>
        <v>-0.42044642857142855</v>
      </c>
      <c r="H87">
        <f t="shared" si="45"/>
        <v>-0.42781249999999998</v>
      </c>
      <c r="I87">
        <f t="shared" si="45"/>
        <v>-0.43149553571428573</v>
      </c>
      <c r="J87">
        <f t="shared" si="45"/>
        <v>-0.43702008928571429</v>
      </c>
      <c r="K87">
        <f t="shared" si="45"/>
        <v>-0.44594436813186811</v>
      </c>
      <c r="L87">
        <f t="shared" si="45"/>
        <v>-0.44885841836734697</v>
      </c>
      <c r="M87">
        <f t="shared" si="45"/>
        <v>-0.40981484529295586</v>
      </c>
    </row>
    <row r="88" spans="2:16" x14ac:dyDescent="0.25">
      <c r="B88" s="4">
        <v>105</v>
      </c>
      <c r="C88" s="4">
        <v>170</v>
      </c>
      <c r="E88">
        <f t="shared" ref="E88:M88" si="46">(E16*$L$27/2)-0.5</f>
        <v>-0.39345588235294116</v>
      </c>
      <c r="F88">
        <f t="shared" si="46"/>
        <v>-0.41198529411764706</v>
      </c>
      <c r="G88">
        <f t="shared" si="46"/>
        <v>-0.41661764705882354</v>
      </c>
      <c r="H88">
        <f t="shared" si="46"/>
        <v>-0.42433823529411763</v>
      </c>
      <c r="I88">
        <f t="shared" si="46"/>
        <v>-0.42819852941176473</v>
      </c>
      <c r="J88">
        <f t="shared" si="46"/>
        <v>-0.43398897058823527</v>
      </c>
      <c r="K88">
        <f t="shared" si="46"/>
        <v>-0.4433427601809955</v>
      </c>
      <c r="L88">
        <f t="shared" si="46"/>
        <v>-0.44639705882352942</v>
      </c>
      <c r="M88">
        <f t="shared" si="46"/>
        <v>-0.40547438330170776</v>
      </c>
      <c r="O88" s="4"/>
      <c r="P88" s="4"/>
    </row>
    <row r="89" spans="2:16" x14ac:dyDescent="0.25">
      <c r="B89" s="4">
        <v>112</v>
      </c>
      <c r="C89" s="4">
        <v>67</v>
      </c>
      <c r="E89">
        <f t="shared" ref="E89:M89" si="47">(E17*$L$27/2)-0.5</f>
        <v>-0.2116417910447761</v>
      </c>
      <c r="F89">
        <f t="shared" si="47"/>
        <v>-0.26179104477611936</v>
      </c>
      <c r="G89">
        <f t="shared" si="47"/>
        <v>-0.27432835820895524</v>
      </c>
      <c r="H89">
        <f t="shared" si="47"/>
        <v>-0.29522388059701493</v>
      </c>
      <c r="I89">
        <f t="shared" si="47"/>
        <v>-0.30567164179104478</v>
      </c>
      <c r="J89">
        <f t="shared" si="47"/>
        <v>-0.32134328358208958</v>
      </c>
      <c r="K89">
        <f t="shared" si="47"/>
        <v>-0.34665901262916188</v>
      </c>
      <c r="L89">
        <f t="shared" si="47"/>
        <v>-0.35492537313432837</v>
      </c>
      <c r="M89">
        <f t="shared" si="47"/>
        <v>-0.24416947520462201</v>
      </c>
    </row>
    <row r="90" spans="2:16" x14ac:dyDescent="0.25">
      <c r="B90" s="4">
        <v>135</v>
      </c>
      <c r="C90" s="4">
        <v>172</v>
      </c>
      <c r="E90">
        <f t="shared" ref="E90:M90" si="48">(E18*$L$27/2)-0.5</f>
        <v>-0.36460755813953488</v>
      </c>
      <c r="F90">
        <f t="shared" si="48"/>
        <v>-0.38815406976744182</v>
      </c>
      <c r="G90">
        <f t="shared" si="48"/>
        <v>-0.39404069767441863</v>
      </c>
      <c r="H90">
        <f t="shared" si="48"/>
        <v>-0.40385174418604652</v>
      </c>
      <c r="I90">
        <f t="shared" si="48"/>
        <v>-0.40875726744186047</v>
      </c>
      <c r="J90">
        <f t="shared" si="48"/>
        <v>-0.41611555232558139</v>
      </c>
      <c r="K90">
        <f t="shared" si="48"/>
        <v>-0.42800201252236136</v>
      </c>
      <c r="L90">
        <f t="shared" si="48"/>
        <v>-0.4318833056478405</v>
      </c>
      <c r="M90">
        <f t="shared" si="48"/>
        <v>-0.37988023791662201</v>
      </c>
    </row>
    <row r="91" spans="2:16" x14ac:dyDescent="0.25">
      <c r="B91" s="4">
        <v>143</v>
      </c>
      <c r="C91" s="4">
        <v>207</v>
      </c>
      <c r="E91">
        <f t="shared" ref="E91:M91" si="49">(E19*$L$27/2)-0.5</f>
        <v>-0.38083333333333336</v>
      </c>
      <c r="F91">
        <f t="shared" si="49"/>
        <v>-0.40155797101449275</v>
      </c>
      <c r="G91">
        <f t="shared" si="49"/>
        <v>-0.4067391304347826</v>
      </c>
      <c r="H91">
        <f t="shared" si="49"/>
        <v>-0.41537439613526572</v>
      </c>
      <c r="I91">
        <f t="shared" si="49"/>
        <v>-0.41969202898550728</v>
      </c>
      <c r="J91">
        <f t="shared" si="49"/>
        <v>-0.42616847826086957</v>
      </c>
      <c r="K91">
        <f t="shared" si="49"/>
        <v>-0.43663043478260871</v>
      </c>
      <c r="L91">
        <f t="shared" si="49"/>
        <v>-0.44004658385093165</v>
      </c>
      <c r="M91">
        <f t="shared" si="49"/>
        <v>-0.39427569625325587</v>
      </c>
    </row>
    <row r="92" spans="2:16" x14ac:dyDescent="0.25">
      <c r="B92" s="4">
        <v>145</v>
      </c>
      <c r="C92" s="4">
        <v>205</v>
      </c>
      <c r="E92">
        <f t="shared" ref="E92:M92" si="50">(E20*$L$27/2)-0.5</f>
        <v>-0.37798780487804878</v>
      </c>
      <c r="F92">
        <f t="shared" si="50"/>
        <v>-0.3992073170731707</v>
      </c>
      <c r="G92">
        <f t="shared" si="50"/>
        <v>-0.40451219512195125</v>
      </c>
      <c r="H92">
        <f t="shared" si="50"/>
        <v>-0.41335365853658534</v>
      </c>
      <c r="I92">
        <f t="shared" si="50"/>
        <v>-0.41777439024390245</v>
      </c>
      <c r="J92">
        <f t="shared" si="50"/>
        <v>-0.42440548780487808</v>
      </c>
      <c r="K92">
        <f t="shared" si="50"/>
        <v>-0.43511726078799251</v>
      </c>
      <c r="L92">
        <f t="shared" si="50"/>
        <v>-0.43861498257839721</v>
      </c>
      <c r="M92">
        <f t="shared" si="50"/>
        <v>-0.39175115207373273</v>
      </c>
    </row>
    <row r="93" spans="2:16" x14ac:dyDescent="0.25">
      <c r="B93" s="4">
        <v>243</v>
      </c>
      <c r="C93" s="4">
        <v>340</v>
      </c>
      <c r="E93">
        <f t="shared" ref="E93:M93" si="51">(E21*$L$27/2)-0.5</f>
        <v>-0.37671323529411765</v>
      </c>
      <c r="F93">
        <f t="shared" si="51"/>
        <v>-0.3981544117647059</v>
      </c>
      <c r="G93">
        <f t="shared" si="51"/>
        <v>-0.40351470588235294</v>
      </c>
      <c r="H93">
        <f t="shared" si="51"/>
        <v>-0.41244852941176469</v>
      </c>
      <c r="I93">
        <f t="shared" si="51"/>
        <v>-0.41691544117647061</v>
      </c>
      <c r="J93">
        <f t="shared" si="51"/>
        <v>-0.42361580882352939</v>
      </c>
      <c r="K93">
        <f t="shared" si="51"/>
        <v>-0.43443947963800905</v>
      </c>
      <c r="L93">
        <f t="shared" si="51"/>
        <v>-0.43797373949579832</v>
      </c>
      <c r="M93">
        <f t="shared" si="51"/>
        <v>-0.3906203578205476</v>
      </c>
    </row>
    <row r="94" spans="2:16" x14ac:dyDescent="0.25">
      <c r="B94" s="4">
        <v>257</v>
      </c>
      <c r="C94" s="4">
        <v>229</v>
      </c>
      <c r="E94">
        <f t="shared" ref="E94:M94" si="52">(E22*$L$27/2)-0.5</f>
        <v>-0.30640829694323146</v>
      </c>
      <c r="F94">
        <f t="shared" si="52"/>
        <v>-0.3400764192139738</v>
      </c>
      <c r="G94">
        <f t="shared" si="52"/>
        <v>-0.34849344978165941</v>
      </c>
      <c r="H94">
        <f t="shared" si="52"/>
        <v>-0.36252183406113536</v>
      </c>
      <c r="I94">
        <f t="shared" si="52"/>
        <v>-0.36953602620087334</v>
      </c>
      <c r="J94">
        <f t="shared" si="52"/>
        <v>-0.3800573144104803</v>
      </c>
      <c r="K94">
        <f t="shared" si="52"/>
        <v>-0.39705324151830701</v>
      </c>
      <c r="L94">
        <f t="shared" si="52"/>
        <v>-0.40260293200249531</v>
      </c>
      <c r="M94">
        <f t="shared" si="52"/>
        <v>-0.32824603062805624</v>
      </c>
    </row>
    <row r="95" spans="2:16" x14ac:dyDescent="0.25">
      <c r="B95" s="4">
        <v>373</v>
      </c>
      <c r="C95" s="4">
        <v>436</v>
      </c>
      <c r="E95">
        <f t="shared" ref="E95:M95" si="53">(E23*$L$27/2)-0.5</f>
        <v>-0.35242545871559638</v>
      </c>
      <c r="F95">
        <f t="shared" si="53"/>
        <v>-0.37809059633027525</v>
      </c>
      <c r="G95">
        <f t="shared" si="53"/>
        <v>-0.38450688073394496</v>
      </c>
      <c r="H95">
        <f t="shared" si="53"/>
        <v>-0.39520068807339448</v>
      </c>
      <c r="I95">
        <f t="shared" si="53"/>
        <v>-0.40054759174311927</v>
      </c>
      <c r="J95">
        <f t="shared" si="53"/>
        <v>-0.4085679472477064</v>
      </c>
      <c r="K95">
        <f t="shared" si="53"/>
        <v>-0.42152390613973179</v>
      </c>
      <c r="L95">
        <f t="shared" si="53"/>
        <v>-0.42575442332896463</v>
      </c>
      <c r="M95">
        <f t="shared" si="53"/>
        <v>-0.36907231640806659</v>
      </c>
    </row>
    <row r="96" spans="2:16" x14ac:dyDescent="0.25">
      <c r="B96" s="4">
        <v>752</v>
      </c>
      <c r="C96" s="4">
        <v>1440</v>
      </c>
      <c r="E96">
        <f t="shared" ref="E96:M96" si="54">(E24*$L$27/2)-0.5</f>
        <v>-0.40991666666666665</v>
      </c>
      <c r="F96">
        <f t="shared" si="54"/>
        <v>-0.42558333333333331</v>
      </c>
      <c r="G96">
        <f t="shared" si="54"/>
        <v>-0.42949999999999999</v>
      </c>
      <c r="H96">
        <f t="shared" si="54"/>
        <v>-0.43602777777777779</v>
      </c>
      <c r="I96">
        <f t="shared" si="54"/>
        <v>-0.43929166666666669</v>
      </c>
      <c r="J96">
        <f t="shared" si="54"/>
        <v>-0.44418750000000001</v>
      </c>
      <c r="K96">
        <f t="shared" si="54"/>
        <v>-0.45209615384615387</v>
      </c>
      <c r="L96">
        <f t="shared" si="54"/>
        <v>-0.45467857142857143</v>
      </c>
      <c r="M96">
        <f t="shared" si="54"/>
        <v>-0.42007834101382491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59C1-581B-42EB-A8D5-2D1413740DEC}">
  <sheetPr codeName="Sheet2"/>
  <dimension ref="A1:M103"/>
  <sheetViews>
    <sheetView workbookViewId="0">
      <selection activeCell="R5" sqref="R5"/>
    </sheetView>
  </sheetViews>
  <sheetFormatPr defaultRowHeight="15" x14ac:dyDescent="0.25"/>
  <sheetData>
    <row r="1" spans="1:13" x14ac:dyDescent="0.25">
      <c r="A1" t="s">
        <v>18</v>
      </c>
    </row>
    <row r="2" spans="1:13" x14ac:dyDescent="0.25">
      <c r="M2" s="1" t="s">
        <v>22</v>
      </c>
    </row>
    <row r="3" spans="1:13" x14ac:dyDescent="0.25">
      <c r="C3" t="s">
        <v>5</v>
      </c>
    </row>
    <row r="4" spans="1:13" x14ac:dyDescent="0.25">
      <c r="D4" t="s">
        <v>6</v>
      </c>
    </row>
    <row r="5" spans="1:13" x14ac:dyDescent="0.25">
      <c r="E5" t="s">
        <v>7</v>
      </c>
    </row>
    <row r="6" spans="1:13" x14ac:dyDescent="0.25">
      <c r="F6" t="str">
        <f ca="1">Sheet1!O8</f>
        <v>&lt;itemSize&gt;0.120111111111111 0.23&lt;/itemSize&gt;</v>
      </c>
    </row>
    <row r="7" spans="1:13" x14ac:dyDescent="0.25">
      <c r="F7" t="str">
        <f ca="1">Sheet1!O9</f>
        <v>&lt;selectedItemMargins&gt;0.5 0.0300277777777778&lt;/selectedItemMargins&gt;</v>
      </c>
    </row>
    <row r="8" spans="1:13" x14ac:dyDescent="0.25">
      <c r="F8" t="str">
        <f ca="1">Sheet1!O10</f>
        <v>&lt;maxItemCount&gt;7.46268656716418&lt;/maxItemCount&gt;</v>
      </c>
    </row>
    <row r="9" spans="1:13" x14ac:dyDescent="0.25">
      <c r="F9" t="str">
        <f ca="1">Sheet1!O11</f>
        <v>&lt;horizontalOffset&gt;-0.409916666666667&lt;/horizontalOffset&gt;</v>
      </c>
    </row>
    <row r="10" spans="1:13" x14ac:dyDescent="0.25">
      <c r="F10" t="str">
        <f>Sheet1!O12</f>
        <v>&lt;itemScale&gt;1.5&lt;/itemScale&gt;</v>
      </c>
    </row>
    <row r="11" spans="1:13" x14ac:dyDescent="0.25">
      <c r="E11" t="s">
        <v>8</v>
      </c>
    </row>
    <row r="12" spans="1:13" x14ac:dyDescent="0.25">
      <c r="D12" t="s">
        <v>9</v>
      </c>
    </row>
    <row r="13" spans="1:13" x14ac:dyDescent="0.25">
      <c r="C13" t="s">
        <v>10</v>
      </c>
    </row>
    <row r="14" spans="1:13" x14ac:dyDescent="0.25">
      <c r="C14" t="s">
        <v>11</v>
      </c>
    </row>
    <row r="15" spans="1:13" x14ac:dyDescent="0.25">
      <c r="D15" t="s">
        <v>6</v>
      </c>
    </row>
    <row r="16" spans="1:13" x14ac:dyDescent="0.25">
      <c r="E16" t="s">
        <v>7</v>
      </c>
    </row>
    <row r="17" spans="3:6" x14ac:dyDescent="0.25">
      <c r="F17" t="str">
        <f ca="1">Sheet1!P8</f>
        <v>&lt;itemSize&gt;0.0992222222222222 0.2375&lt;/itemSize&gt;</v>
      </c>
    </row>
    <row r="18" spans="3:6" x14ac:dyDescent="0.25">
      <c r="F18" t="str">
        <f ca="1">Sheet1!P9</f>
        <v>&lt;selectedItemMargins&gt;0.5 0.0248055555555556&lt;/selectedItemMargins&gt;</v>
      </c>
    </row>
    <row r="19" spans="3:6" x14ac:dyDescent="0.25">
      <c r="F19" t="str">
        <f ca="1">Sheet1!P10</f>
        <v>&lt;maxItemCount&gt;9.06344410876133&lt;/maxItemCount&gt;</v>
      </c>
    </row>
    <row r="20" spans="3:6" x14ac:dyDescent="0.25">
      <c r="F20" t="str">
        <f ca="1">Sheet1!P11</f>
        <v>&lt;horizontalOffset&gt;-0.425583333333333&lt;/horizontalOffset&gt;</v>
      </c>
    </row>
    <row r="21" spans="3:6" x14ac:dyDescent="0.25">
      <c r="F21" t="str">
        <f>Sheet1!P12</f>
        <v>&lt;itemScale&gt;1.5&lt;/itemScale&gt;</v>
      </c>
    </row>
    <row r="22" spans="3:6" x14ac:dyDescent="0.25">
      <c r="E22" t="s">
        <v>8</v>
      </c>
    </row>
    <row r="23" spans="3:6" x14ac:dyDescent="0.25">
      <c r="D23" t="s">
        <v>9</v>
      </c>
    </row>
    <row r="24" spans="3:6" x14ac:dyDescent="0.25">
      <c r="C24" t="s">
        <v>10</v>
      </c>
    </row>
    <row r="25" spans="3:6" x14ac:dyDescent="0.25">
      <c r="C25" t="s">
        <v>12</v>
      </c>
    </row>
    <row r="26" spans="3:6" x14ac:dyDescent="0.25">
      <c r="D26" t="s">
        <v>6</v>
      </c>
    </row>
    <row r="27" spans="3:6" x14ac:dyDescent="0.25">
      <c r="E27" t="s">
        <v>7</v>
      </c>
    </row>
    <row r="28" spans="3:6" x14ac:dyDescent="0.25">
      <c r="F28" t="str">
        <f ca="1">Sheet1!Q8</f>
        <v>&lt;itemSize&gt;0.094 0.24&lt;/itemSize&gt;</v>
      </c>
    </row>
    <row r="29" spans="3:6" x14ac:dyDescent="0.25">
      <c r="F29" t="str">
        <f ca="1">Sheet1!Q9</f>
        <v>&lt;selectedItemMargins&gt;0.5 0.0235&lt;/selectedItemMargins&gt;</v>
      </c>
    </row>
    <row r="30" spans="3:6" x14ac:dyDescent="0.25">
      <c r="F30" t="str">
        <f ca="1">Sheet1!Q10</f>
        <v>&lt;maxItemCount&gt;9.57701516360734&lt;/maxItemCount&gt;</v>
      </c>
    </row>
    <row r="31" spans="3:6" x14ac:dyDescent="0.25">
      <c r="F31" t="str">
        <f ca="1">Sheet1!Q11</f>
        <v>&lt;horizontalOffset&gt;-0.4295&lt;/horizontalOffset&gt;</v>
      </c>
    </row>
    <row r="32" spans="3:6" x14ac:dyDescent="0.25">
      <c r="F32" t="str">
        <f>Sheet1!Q12</f>
        <v>&lt;itemScale&gt;1.5&lt;/itemScale&gt;</v>
      </c>
    </row>
    <row r="33" spans="3:6" x14ac:dyDescent="0.25">
      <c r="E33" t="s">
        <v>8</v>
      </c>
    </row>
    <row r="34" spans="3:6" x14ac:dyDescent="0.25">
      <c r="D34" t="s">
        <v>9</v>
      </c>
    </row>
    <row r="35" spans="3:6" x14ac:dyDescent="0.25">
      <c r="C35" t="s">
        <v>10</v>
      </c>
    </row>
    <row r="36" spans="3:6" x14ac:dyDescent="0.25">
      <c r="C36" t="s">
        <v>13</v>
      </c>
    </row>
    <row r="37" spans="3:6" x14ac:dyDescent="0.25">
      <c r="D37" t="s">
        <v>6</v>
      </c>
    </row>
    <row r="38" spans="3:6" x14ac:dyDescent="0.25">
      <c r="E38" t="s">
        <v>7</v>
      </c>
    </row>
    <row r="39" spans="3:6" x14ac:dyDescent="0.25">
      <c r="F39" t="str">
        <f ca="1">Sheet1!R8</f>
        <v>&lt;itemSize&gt;0.0852962962962963 0.245&lt;/itemSize&gt;</v>
      </c>
    </row>
    <row r="40" spans="3:6" x14ac:dyDescent="0.25">
      <c r="F40" t="str">
        <f ca="1">Sheet1!R9</f>
        <v>&lt;selectedItemMargins&gt;0.5 0.0213240740740741&lt;/selectedItemMargins&gt;</v>
      </c>
    </row>
    <row r="41" spans="3:6" x14ac:dyDescent="0.25">
      <c r="F41" t="str">
        <f ca="1">Sheet1!R10</f>
        <v>&lt;maxItemCount&gt;10.5757931844888&lt;/maxItemCount&gt;</v>
      </c>
    </row>
    <row r="42" spans="3:6" x14ac:dyDescent="0.25">
      <c r="F42" t="str">
        <f ca="1">Sheet1!R11</f>
        <v>&lt;horizontalOffset&gt;-0.436027777777778&lt;/horizontalOffset&gt;</v>
      </c>
    </row>
    <row r="43" spans="3:6" x14ac:dyDescent="0.25">
      <c r="F43" t="str">
        <f>Sheet1!R12</f>
        <v>&lt;itemScale&gt;1.5&lt;/itemScale&gt;</v>
      </c>
    </row>
    <row r="44" spans="3:6" x14ac:dyDescent="0.25">
      <c r="E44" t="s">
        <v>8</v>
      </c>
    </row>
    <row r="45" spans="3:6" x14ac:dyDescent="0.25">
      <c r="D45" t="s">
        <v>9</v>
      </c>
    </row>
    <row r="46" spans="3:6" x14ac:dyDescent="0.25">
      <c r="C46" t="s">
        <v>10</v>
      </c>
    </row>
    <row r="47" spans="3:6" x14ac:dyDescent="0.25">
      <c r="C47" t="s">
        <v>14</v>
      </c>
    </row>
    <row r="48" spans="3:6" x14ac:dyDescent="0.25">
      <c r="D48" t="s">
        <v>6</v>
      </c>
    </row>
    <row r="49" spans="3:6" x14ac:dyDescent="0.25">
      <c r="E49" t="s">
        <v>7</v>
      </c>
    </row>
    <row r="50" spans="3:6" x14ac:dyDescent="0.25">
      <c r="F50" t="str">
        <f ca="1">Sheet1!S8</f>
        <v>&lt;itemSize&gt;0.0809444444444444 0.248&lt;/itemSize&gt;</v>
      </c>
    </row>
    <row r="51" spans="3:6" x14ac:dyDescent="0.25">
      <c r="F51" t="str">
        <f ca="1">Sheet1!S9</f>
        <v>&lt;selectedItemMargins&gt;0.5 0.0202361111111111&lt;/selectedItemMargins&gt;</v>
      </c>
    </row>
    <row r="52" spans="3:6" x14ac:dyDescent="0.25">
      <c r="F52" t="str">
        <f ca="1">Sheet1!S10</f>
        <v>&lt;maxItemCount&gt;11.1576011157601&lt;/maxItemCount&gt;</v>
      </c>
    </row>
    <row r="53" spans="3:6" x14ac:dyDescent="0.25">
      <c r="F53" t="str">
        <f ca="1">Sheet1!S11</f>
        <v>&lt;horizontalOffset&gt;-0.439291666666667&lt;/horizontalOffset&gt;</v>
      </c>
    </row>
    <row r="54" spans="3:6" x14ac:dyDescent="0.25">
      <c r="F54" t="str">
        <f>Sheet1!S12</f>
        <v>&lt;itemScale&gt;1.5&lt;/itemScale&gt;</v>
      </c>
    </row>
    <row r="55" spans="3:6" x14ac:dyDescent="0.25">
      <c r="E55" t="s">
        <v>8</v>
      </c>
    </row>
    <row r="56" spans="3:6" x14ac:dyDescent="0.25">
      <c r="D56" t="s">
        <v>9</v>
      </c>
    </row>
    <row r="57" spans="3:6" x14ac:dyDescent="0.25">
      <c r="C57" t="s">
        <v>10</v>
      </c>
    </row>
    <row r="58" spans="3:6" x14ac:dyDescent="0.25">
      <c r="C58" t="s">
        <v>15</v>
      </c>
    </row>
    <row r="59" spans="3:6" x14ac:dyDescent="0.25">
      <c r="D59" t="s">
        <v>6</v>
      </c>
    </row>
    <row r="60" spans="3:6" x14ac:dyDescent="0.25">
      <c r="E60" t="s">
        <v>7</v>
      </c>
    </row>
    <row r="61" spans="3:6" x14ac:dyDescent="0.25">
      <c r="F61" t="str">
        <f ca="1">Sheet1!T8</f>
        <v>&lt;itemSize&gt;0.0744166666666667 0.253333333333333&lt;/itemSize&gt;</v>
      </c>
    </row>
    <row r="62" spans="3:6" x14ac:dyDescent="0.25">
      <c r="F62" t="str">
        <f ca="1">Sheet1!T9</f>
        <v>&lt;selectedItemMargins&gt;0.5 0.0186041666666667&lt;/selectedItemMargins&gt;</v>
      </c>
    </row>
    <row r="63" spans="3:6" x14ac:dyDescent="0.25">
      <c r="F63" t="str">
        <f ca="1">Sheet1!T10</f>
        <v>&lt;maxItemCount&gt;12.1611350392703&lt;/maxItemCount&gt;</v>
      </c>
    </row>
    <row r="64" spans="3:6" x14ac:dyDescent="0.25">
      <c r="F64" t="str">
        <f ca="1">Sheet1!T11</f>
        <v>&lt;horizontalOffset&gt;-0.4441875&lt;/horizontalOffset&gt;</v>
      </c>
    </row>
    <row r="65" spans="3:6" x14ac:dyDescent="0.25">
      <c r="F65" t="str">
        <f>Sheet1!T12</f>
        <v>&lt;itemScale&gt;1.5&lt;/itemScale&gt;</v>
      </c>
    </row>
    <row r="66" spans="3:6" x14ac:dyDescent="0.25">
      <c r="E66" t="s">
        <v>8</v>
      </c>
    </row>
    <row r="67" spans="3:6" x14ac:dyDescent="0.25">
      <c r="D67" t="s">
        <v>9</v>
      </c>
    </row>
    <row r="68" spans="3:6" x14ac:dyDescent="0.25">
      <c r="C68" t="s">
        <v>10</v>
      </c>
    </row>
    <row r="69" spans="3:6" x14ac:dyDescent="0.25">
      <c r="C69" t="s">
        <v>16</v>
      </c>
    </row>
    <row r="70" spans="3:6" x14ac:dyDescent="0.25">
      <c r="D70" t="s">
        <v>6</v>
      </c>
    </row>
    <row r="71" spans="3:6" x14ac:dyDescent="0.25">
      <c r="E71" t="s">
        <v>7</v>
      </c>
    </row>
    <row r="72" spans="3:6" x14ac:dyDescent="0.25">
      <c r="F72" t="str">
        <f ca="1">Sheet1!U8</f>
        <v>&lt;itemSize&gt;0.0638717948717949 0.265&lt;/itemSize&gt;</v>
      </c>
    </row>
    <row r="73" spans="3:6" x14ac:dyDescent="0.25">
      <c r="F73" t="str">
        <f ca="1">Sheet1!U9</f>
        <v>&lt;selectedItemMargins&gt;0.5 0.0159679487179487&lt;/selectedItemMargins&gt;</v>
      </c>
    </row>
    <row r="74" spans="3:6" x14ac:dyDescent="0.25">
      <c r="F74" t="str">
        <f ca="1">Sheet1!U10</f>
        <v>&lt;maxItemCount&gt;14.2283838015323&lt;/maxItemCount&gt;</v>
      </c>
    </row>
    <row r="75" spans="3:6" x14ac:dyDescent="0.25">
      <c r="F75" t="str">
        <f ca="1">Sheet1!U11</f>
        <v>&lt;horizontalOffset&gt;-0.452096153846154&lt;/horizontalOffset&gt;</v>
      </c>
    </row>
    <row r="76" spans="3:6" x14ac:dyDescent="0.25">
      <c r="F76" t="str">
        <f>Sheet1!U12</f>
        <v>&lt;itemScale&gt;1.5&lt;/itemScale&gt;</v>
      </c>
    </row>
    <row r="77" spans="3:6" x14ac:dyDescent="0.25">
      <c r="E77" t="s">
        <v>8</v>
      </c>
    </row>
    <row r="78" spans="3:6" x14ac:dyDescent="0.25">
      <c r="D78" t="s">
        <v>9</v>
      </c>
    </row>
    <row r="79" spans="3:6" x14ac:dyDescent="0.25">
      <c r="C79" t="s">
        <v>10</v>
      </c>
    </row>
    <row r="80" spans="3:6" x14ac:dyDescent="0.25">
      <c r="C80" t="s">
        <v>17</v>
      </c>
    </row>
    <row r="81" spans="3:6" x14ac:dyDescent="0.25">
      <c r="D81" t="s">
        <v>6</v>
      </c>
    </row>
    <row r="82" spans="3:6" x14ac:dyDescent="0.25">
      <c r="E82" t="s">
        <v>7</v>
      </c>
    </row>
    <row r="83" spans="3:6" x14ac:dyDescent="0.25">
      <c r="F83" t="str">
        <f ca="1">Sheet1!V8</f>
        <v>&lt;itemSize&gt;0.0604285714285714 0.27&lt;/itemSize&gt;</v>
      </c>
    </row>
    <row r="84" spans="3:6" x14ac:dyDescent="0.25">
      <c r="F84" t="str">
        <f ca="1">Sheet1!V9</f>
        <v>&lt;selectedItemMargins&gt;0.5 0.0151071428571429&lt;/selectedItemMargins&gt;</v>
      </c>
    </row>
    <row r="85" spans="3:6" x14ac:dyDescent="0.25">
      <c r="F85" t="str">
        <f ca="1">Sheet1!V10</f>
        <v>&lt;maxItemCount&gt;15.06456241033&lt;/maxItemCount&gt;</v>
      </c>
    </row>
    <row r="86" spans="3:6" x14ac:dyDescent="0.25">
      <c r="F86" t="str">
        <f ca="1">Sheet1!V11</f>
        <v>&lt;horizontalOffset&gt;-0.454678571428571&lt;/horizontalOffset&gt;</v>
      </c>
    </row>
    <row r="87" spans="3:6" x14ac:dyDescent="0.25">
      <c r="F87" t="str">
        <f>Sheet1!V12</f>
        <v>&lt;itemScale&gt;1.5&lt;/itemScale&gt;</v>
      </c>
    </row>
    <row r="88" spans="3:6" x14ac:dyDescent="0.25">
      <c r="E88" t="s">
        <v>8</v>
      </c>
    </row>
    <row r="89" spans="3:6" x14ac:dyDescent="0.25">
      <c r="D89" t="s">
        <v>9</v>
      </c>
    </row>
    <row r="90" spans="3:6" x14ac:dyDescent="0.25">
      <c r="C90" t="s">
        <v>10</v>
      </c>
    </row>
    <row r="91" spans="3:6" x14ac:dyDescent="0.25">
      <c r="C91" t="s">
        <v>25</v>
      </c>
    </row>
    <row r="92" spans="3:6" x14ac:dyDescent="0.25">
      <c r="D92" t="s">
        <v>6</v>
      </c>
    </row>
    <row r="93" spans="3:6" x14ac:dyDescent="0.25">
      <c r="E93" t="s">
        <v>7</v>
      </c>
    </row>
    <row r="94" spans="3:6" x14ac:dyDescent="0.25">
      <c r="F94" t="str">
        <f ca="1">Sheet1!W8</f>
        <v>&lt;itemSize&gt;0.106562211981567 0.234285714285714&lt;/itemSize&gt;</v>
      </c>
    </row>
    <row r="95" spans="3:6" x14ac:dyDescent="0.25">
      <c r="F95" t="str">
        <f ca="1">Sheet1!W9</f>
        <v>&lt;selectedItemMargins&gt;0.5 0.0266405529953917&lt;/selectedItemMargins&gt;</v>
      </c>
    </row>
    <row r="96" spans="3:6" x14ac:dyDescent="0.25">
      <c r="F96" t="str">
        <f ca="1">Sheet1!W10</f>
        <v>&lt;maxItemCount&gt;8.72396880276594&lt;/maxItemCount&gt;</v>
      </c>
    </row>
    <row r="97" spans="1:6" x14ac:dyDescent="0.25">
      <c r="F97" t="str">
        <f ca="1">Sheet1!W11</f>
        <v>&lt;horizontalOffset&gt;-0.420078341013825&lt;/horizontalOffset&gt;</v>
      </c>
    </row>
    <row r="98" spans="1:6" x14ac:dyDescent="0.25">
      <c r="F98" t="str">
        <f>Sheet1!W12</f>
        <v>&lt;itemScale&gt;1.5&lt;/itemScale&gt;</v>
      </c>
    </row>
    <row r="99" spans="1:6" x14ac:dyDescent="0.25">
      <c r="E99" t="s">
        <v>8</v>
      </c>
    </row>
    <row r="100" spans="1:6" x14ac:dyDescent="0.25">
      <c r="D100" t="s">
        <v>9</v>
      </c>
    </row>
    <row r="101" spans="1:6" x14ac:dyDescent="0.25">
      <c r="C101" t="s">
        <v>10</v>
      </c>
    </row>
    <row r="103" spans="1:6" x14ac:dyDescent="0.25">
      <c r="A103" t="s">
        <v>19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rtPlainTextAsXml">
                <anchor moveWithCells="1" sizeWithCells="1">
                  <from>
                    <xdr:col>12</xdr:col>
                    <xdr:colOff>400050</xdr:colOff>
                    <xdr:row>3</xdr:row>
                    <xdr:rowOff>161925</xdr:rowOff>
                  </from>
                  <to>
                    <xdr:col>14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51634-8ED5-4096-89A1-863BB59EC509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Drop_Down_1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2025-01-06T18:54:16Z</dcterms:created>
  <dcterms:modified xsi:type="dcterms:W3CDTF">2025-09-24T17:54:20Z</dcterms:modified>
</cp:coreProperties>
</file>